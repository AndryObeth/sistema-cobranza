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y\sistema-cobranza\"/>
    </mc:Choice>
  </mc:AlternateContent>
  <xr:revisionPtr revIDLastSave="0" documentId="13_ncr:1_{0E795FAF-50E7-4E34-862C-FAB55CDA06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uración" sheetId="1" r:id="rId1"/>
    <sheet name="Respuestas de formulario 1" sheetId="2" r:id="rId2"/>
    <sheet name="Lista_Maestra" sheetId="3" r:id="rId3"/>
    <sheet name="Cotizador" sheetId="4" r:id="rId4"/>
    <sheet name="Inventario_Ruta" sheetId="5" r:id="rId5"/>
    <sheet name="Historial_Cambios" sheetId="6" r:id="rId6"/>
  </sheets>
  <definedNames>
    <definedName name="_xlnm._FilterDatabase" localSheetId="5" hidden="1">Historial_Cambios!$A$1:$H$2000</definedName>
    <definedName name="_xlnm._FilterDatabase" localSheetId="4" hidden="1">Inventario_Ruta!$A$1:$I$2000</definedName>
    <definedName name="_xlnm._FilterDatabase" localSheetId="2" hidden="1">Lista_Maestra!$A$1:$Y$193</definedName>
    <definedName name="_xlnm._FilterDatabase" localSheetId="1" hidden="1">'Respuestas de formulario 1'!$C$1:$D$181</definedName>
    <definedName name="Lista_Productos">Tabla_Productos[Nombre_Comercial]</definedName>
    <definedName name="ListaCategorias">TablaCategorias[Categoria]</definedName>
    <definedName name="ListaMateriales">TablaMateriales[Material]</definedName>
    <definedName name="ListaSubcategorias">TablaSubcategorias[Subcategoria]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2" i="3" l="1"/>
  <c r="E76" i="3"/>
  <c r="F76" i="3" a="1"/>
  <c r="F76" i="3" s="1"/>
  <c r="G76" i="3"/>
  <c r="M76" i="3"/>
  <c r="N76" i="3" s="1"/>
  <c r="P76" i="3"/>
  <c r="Q76" i="3" s="1"/>
  <c r="R76" i="3" s="1"/>
  <c r="S76" i="3"/>
  <c r="T76" i="3" s="1"/>
  <c r="U76" i="3" s="1"/>
  <c r="V76" i="3"/>
  <c r="E152" i="3"/>
  <c r="F152" i="3" a="1"/>
  <c r="F152" i="3" s="1"/>
  <c r="G152" i="3"/>
  <c r="M152" i="3"/>
  <c r="N152" i="3" s="1"/>
  <c r="P152" i="3"/>
  <c r="Q152" i="3" s="1"/>
  <c r="R152" i="3" s="1"/>
  <c r="S152" i="3"/>
  <c r="T152" i="3" s="1"/>
  <c r="U152" i="3" s="1"/>
  <c r="V152" i="3"/>
  <c r="E2" i="3"/>
  <c r="F2" i="3" a="1"/>
  <c r="F2" i="3" s="1"/>
  <c r="G2" i="3"/>
  <c r="E3" i="3"/>
  <c r="F3" i="3" a="1"/>
  <c r="F3" i="3" s="1"/>
  <c r="G3" i="3"/>
  <c r="E4" i="3"/>
  <c r="F4" i="3" a="1"/>
  <c r="F4" i="3" s="1"/>
  <c r="G4" i="3"/>
  <c r="E5" i="3"/>
  <c r="F5" i="3" a="1"/>
  <c r="F5" i="3" s="1"/>
  <c r="G5" i="3"/>
  <c r="E6" i="3"/>
  <c r="F6" i="3" a="1"/>
  <c r="F6" i="3" s="1"/>
  <c r="G6" i="3"/>
  <c r="E7" i="3"/>
  <c r="F7" i="3" a="1"/>
  <c r="F7" i="3" s="1"/>
  <c r="G7" i="3"/>
  <c r="E8" i="3"/>
  <c r="F8" i="3" a="1"/>
  <c r="F8" i="3" s="1"/>
  <c r="G8" i="3"/>
  <c r="E9" i="3"/>
  <c r="F9" i="3" a="1"/>
  <c r="F9" i="3" s="1"/>
  <c r="G9" i="3"/>
  <c r="E10" i="3"/>
  <c r="F10" i="3" a="1"/>
  <c r="F10" i="3" s="1"/>
  <c r="G10" i="3"/>
  <c r="E11" i="3"/>
  <c r="F11" i="3" a="1"/>
  <c r="F11" i="3" s="1"/>
  <c r="G11" i="3"/>
  <c r="E12" i="3"/>
  <c r="F12" i="3" a="1"/>
  <c r="F12" i="3" s="1"/>
  <c r="G12" i="3"/>
  <c r="E13" i="3"/>
  <c r="F13" i="3" a="1"/>
  <c r="F13" i="3" s="1"/>
  <c r="G13" i="3"/>
  <c r="E14" i="3"/>
  <c r="F14" i="3" a="1"/>
  <c r="F14" i="3" s="1"/>
  <c r="G14" i="3"/>
  <c r="E15" i="3"/>
  <c r="F15" i="3" a="1"/>
  <c r="F15" i="3" s="1"/>
  <c r="G15" i="3"/>
  <c r="E16" i="3"/>
  <c r="F16" i="3" a="1"/>
  <c r="F16" i="3" s="1"/>
  <c r="G16" i="3"/>
  <c r="E17" i="3"/>
  <c r="F17" i="3" a="1"/>
  <c r="F17" i="3" s="1"/>
  <c r="G17" i="3"/>
  <c r="E18" i="3"/>
  <c r="F18" i="3" a="1"/>
  <c r="F18" i="3" s="1"/>
  <c r="G18" i="3"/>
  <c r="E19" i="3"/>
  <c r="F19" i="3" a="1"/>
  <c r="F19" i="3" s="1"/>
  <c r="G19" i="3"/>
  <c r="E20" i="3"/>
  <c r="F20" i="3" a="1"/>
  <c r="F20" i="3" s="1"/>
  <c r="G20" i="3"/>
  <c r="E21" i="3"/>
  <c r="F21" i="3" a="1"/>
  <c r="F21" i="3" s="1"/>
  <c r="G21" i="3"/>
  <c r="E22" i="3"/>
  <c r="F22" i="3" a="1"/>
  <c r="F22" i="3" s="1"/>
  <c r="G22" i="3"/>
  <c r="E23" i="3"/>
  <c r="F23" i="3" a="1"/>
  <c r="F23" i="3" s="1"/>
  <c r="G23" i="3"/>
  <c r="E24" i="3"/>
  <c r="F24" i="3" a="1"/>
  <c r="F24" i="3" s="1"/>
  <c r="G24" i="3"/>
  <c r="E25" i="3"/>
  <c r="F25" i="3" a="1"/>
  <c r="F25" i="3" s="1"/>
  <c r="G25" i="3"/>
  <c r="E26" i="3"/>
  <c r="F26" i="3" a="1"/>
  <c r="F26" i="3" s="1"/>
  <c r="G26" i="3"/>
  <c r="E27" i="3"/>
  <c r="F27" i="3" a="1"/>
  <c r="F27" i="3" s="1"/>
  <c r="G27" i="3"/>
  <c r="E28" i="3"/>
  <c r="F28" i="3" a="1"/>
  <c r="F28" i="3" s="1"/>
  <c r="G28" i="3"/>
  <c r="E29" i="3"/>
  <c r="F29" i="3" a="1"/>
  <c r="F29" i="3" s="1"/>
  <c r="G29" i="3"/>
  <c r="E30" i="3"/>
  <c r="F30" i="3" a="1"/>
  <c r="F30" i="3" s="1"/>
  <c r="G30" i="3"/>
  <c r="E31" i="3"/>
  <c r="F31" i="3" a="1"/>
  <c r="F31" i="3" s="1"/>
  <c r="G31" i="3"/>
  <c r="E32" i="3"/>
  <c r="F32" i="3" a="1"/>
  <c r="F32" i="3" s="1"/>
  <c r="G32" i="3"/>
  <c r="E33" i="3"/>
  <c r="F33" i="3" a="1"/>
  <c r="F33" i="3" s="1"/>
  <c r="G33" i="3"/>
  <c r="E34" i="3"/>
  <c r="F34" i="3" a="1"/>
  <c r="F34" i="3" s="1"/>
  <c r="G34" i="3"/>
  <c r="E35" i="3"/>
  <c r="F35" i="3" a="1"/>
  <c r="F35" i="3" s="1"/>
  <c r="G35" i="3"/>
  <c r="E36" i="3"/>
  <c r="F36" i="3" a="1"/>
  <c r="F36" i="3" s="1"/>
  <c r="G36" i="3"/>
  <c r="E37" i="3"/>
  <c r="F37" i="3" a="1"/>
  <c r="F37" i="3" s="1"/>
  <c r="G37" i="3"/>
  <c r="E38" i="3"/>
  <c r="F38" i="3" a="1"/>
  <c r="F38" i="3" s="1"/>
  <c r="G38" i="3"/>
  <c r="E39" i="3"/>
  <c r="F39" i="3" a="1"/>
  <c r="F39" i="3" s="1"/>
  <c r="G39" i="3"/>
  <c r="E40" i="3"/>
  <c r="F40" i="3" a="1"/>
  <c r="F40" i="3" s="1"/>
  <c r="G40" i="3"/>
  <c r="E41" i="3"/>
  <c r="F41" i="3" a="1"/>
  <c r="F41" i="3" s="1"/>
  <c r="G41" i="3"/>
  <c r="E42" i="3"/>
  <c r="F42" i="3" a="1"/>
  <c r="F42" i="3" s="1"/>
  <c r="G42" i="3"/>
  <c r="E43" i="3"/>
  <c r="F43" i="3" a="1"/>
  <c r="F43" i="3" s="1"/>
  <c r="G43" i="3"/>
  <c r="E44" i="3"/>
  <c r="F44" i="3" a="1"/>
  <c r="F44" i="3" s="1"/>
  <c r="G44" i="3"/>
  <c r="E45" i="3"/>
  <c r="F45" i="3" a="1"/>
  <c r="F45" i="3" s="1"/>
  <c r="G45" i="3"/>
  <c r="E46" i="3"/>
  <c r="F46" i="3" a="1"/>
  <c r="F46" i="3" s="1"/>
  <c r="G46" i="3"/>
  <c r="E47" i="3"/>
  <c r="F47" i="3" a="1"/>
  <c r="F47" i="3" s="1"/>
  <c r="G47" i="3"/>
  <c r="E48" i="3"/>
  <c r="F48" i="3" a="1"/>
  <c r="F48" i="3" s="1"/>
  <c r="G48" i="3"/>
  <c r="E49" i="3"/>
  <c r="F49" i="3" a="1"/>
  <c r="F49" i="3" s="1"/>
  <c r="G49" i="3"/>
  <c r="E50" i="3"/>
  <c r="F50" i="3" a="1"/>
  <c r="F50" i="3" s="1"/>
  <c r="G50" i="3"/>
  <c r="E51" i="3"/>
  <c r="F51" i="3" a="1"/>
  <c r="F51" i="3" s="1"/>
  <c r="G51" i="3"/>
  <c r="E52" i="3"/>
  <c r="F52" i="3" a="1"/>
  <c r="F52" i="3" s="1"/>
  <c r="G52" i="3"/>
  <c r="E53" i="3"/>
  <c r="F53" i="3" a="1"/>
  <c r="F53" i="3" s="1"/>
  <c r="G53" i="3"/>
  <c r="E54" i="3"/>
  <c r="F54" i="3" a="1"/>
  <c r="F54" i="3" s="1"/>
  <c r="G54" i="3"/>
  <c r="E55" i="3"/>
  <c r="F55" i="3" a="1"/>
  <c r="F55" i="3" s="1"/>
  <c r="G55" i="3"/>
  <c r="E56" i="3"/>
  <c r="F56" i="3" a="1"/>
  <c r="F56" i="3" s="1"/>
  <c r="G56" i="3"/>
  <c r="E57" i="3"/>
  <c r="F57" i="3" a="1"/>
  <c r="F57" i="3" s="1"/>
  <c r="G57" i="3"/>
  <c r="E58" i="3"/>
  <c r="F58" i="3" a="1"/>
  <c r="F58" i="3" s="1"/>
  <c r="G58" i="3"/>
  <c r="E59" i="3"/>
  <c r="F59" i="3" a="1"/>
  <c r="F59" i="3" s="1"/>
  <c r="G59" i="3"/>
  <c r="E60" i="3"/>
  <c r="F60" i="3" a="1"/>
  <c r="F60" i="3" s="1"/>
  <c r="G60" i="3"/>
  <c r="E61" i="3"/>
  <c r="F61" i="3" a="1"/>
  <c r="F61" i="3" s="1"/>
  <c r="G61" i="3"/>
  <c r="E62" i="3"/>
  <c r="F62" i="3" a="1"/>
  <c r="F62" i="3" s="1"/>
  <c r="G62" i="3"/>
  <c r="E63" i="3"/>
  <c r="F63" i="3" a="1"/>
  <c r="F63" i="3" s="1"/>
  <c r="G63" i="3"/>
  <c r="E64" i="3"/>
  <c r="F64" i="3" a="1"/>
  <c r="F64" i="3" s="1"/>
  <c r="G64" i="3"/>
  <c r="E65" i="3"/>
  <c r="F65" i="3" a="1"/>
  <c r="F65" i="3" s="1"/>
  <c r="G65" i="3"/>
  <c r="E66" i="3"/>
  <c r="F66" i="3" a="1"/>
  <c r="F66" i="3" s="1"/>
  <c r="G66" i="3"/>
  <c r="E67" i="3"/>
  <c r="F67" i="3" a="1"/>
  <c r="F67" i="3" s="1"/>
  <c r="G67" i="3"/>
  <c r="E68" i="3"/>
  <c r="F68" i="3" a="1"/>
  <c r="F68" i="3" s="1"/>
  <c r="G68" i="3"/>
  <c r="E69" i="3"/>
  <c r="F69" i="3" a="1"/>
  <c r="F69" i="3" s="1"/>
  <c r="G69" i="3"/>
  <c r="E70" i="3"/>
  <c r="F70" i="3" a="1"/>
  <c r="F70" i="3" s="1"/>
  <c r="G70" i="3"/>
  <c r="E71" i="3"/>
  <c r="F71" i="3" a="1"/>
  <c r="F71" i="3" s="1"/>
  <c r="G71" i="3"/>
  <c r="E72" i="3"/>
  <c r="F72" i="3" a="1"/>
  <c r="F72" i="3" s="1"/>
  <c r="G72" i="3"/>
  <c r="E73" i="3"/>
  <c r="F73" i="3" a="1"/>
  <c r="F73" i="3" s="1"/>
  <c r="G73" i="3"/>
  <c r="E74" i="3"/>
  <c r="F74" i="3" a="1"/>
  <c r="F74" i="3" s="1"/>
  <c r="G74" i="3"/>
  <c r="E75" i="3"/>
  <c r="F75" i="3" a="1"/>
  <c r="F75" i="3" s="1"/>
  <c r="G75" i="3"/>
  <c r="E77" i="3"/>
  <c r="F77" i="3" a="1"/>
  <c r="F77" i="3" s="1"/>
  <c r="G77" i="3"/>
  <c r="E78" i="3"/>
  <c r="F78" i="3" a="1"/>
  <c r="F78" i="3" s="1"/>
  <c r="G78" i="3"/>
  <c r="E79" i="3"/>
  <c r="F79" i="3" a="1"/>
  <c r="F79" i="3" s="1"/>
  <c r="G79" i="3"/>
  <c r="E80" i="3"/>
  <c r="F80" i="3" a="1"/>
  <c r="F80" i="3" s="1"/>
  <c r="G80" i="3"/>
  <c r="E81" i="3"/>
  <c r="F81" i="3" a="1"/>
  <c r="F81" i="3" s="1"/>
  <c r="G81" i="3"/>
  <c r="E82" i="3"/>
  <c r="F82" i="3" a="1"/>
  <c r="F82" i="3" s="1"/>
  <c r="G82" i="3"/>
  <c r="E83" i="3"/>
  <c r="F83" i="3" a="1"/>
  <c r="F83" i="3" s="1"/>
  <c r="G83" i="3"/>
  <c r="E84" i="3"/>
  <c r="F84" i="3" a="1"/>
  <c r="F84" i="3" s="1"/>
  <c r="G84" i="3"/>
  <c r="E85" i="3"/>
  <c r="F85" i="3" a="1"/>
  <c r="F85" i="3" s="1"/>
  <c r="G85" i="3"/>
  <c r="E86" i="3"/>
  <c r="F86" i="3" a="1"/>
  <c r="F86" i="3" s="1"/>
  <c r="G86" i="3"/>
  <c r="E87" i="3"/>
  <c r="F87" i="3" a="1"/>
  <c r="F87" i="3" s="1"/>
  <c r="G87" i="3"/>
  <c r="E88" i="3"/>
  <c r="F88" i="3" a="1"/>
  <c r="F88" i="3" s="1"/>
  <c r="G88" i="3"/>
  <c r="E89" i="3"/>
  <c r="F89" i="3" a="1"/>
  <c r="F89" i="3" s="1"/>
  <c r="G89" i="3"/>
  <c r="E90" i="3"/>
  <c r="F90" i="3" a="1"/>
  <c r="F90" i="3" s="1"/>
  <c r="G90" i="3"/>
  <c r="E91" i="3"/>
  <c r="F91" i="3" a="1"/>
  <c r="F91" i="3" s="1"/>
  <c r="G91" i="3"/>
  <c r="E92" i="3"/>
  <c r="F92" i="3" a="1"/>
  <c r="F92" i="3" s="1"/>
  <c r="G92" i="3"/>
  <c r="E93" i="3"/>
  <c r="F93" i="3" a="1"/>
  <c r="F93" i="3" s="1"/>
  <c r="G93" i="3"/>
  <c r="E94" i="3"/>
  <c r="F94" i="3" a="1"/>
  <c r="F94" i="3" s="1"/>
  <c r="G94" i="3"/>
  <c r="E95" i="3"/>
  <c r="F95" i="3" a="1"/>
  <c r="F95" i="3" s="1"/>
  <c r="G95" i="3"/>
  <c r="E96" i="3"/>
  <c r="F96" i="3" a="1"/>
  <c r="F96" i="3" s="1"/>
  <c r="G96" i="3"/>
  <c r="E97" i="3"/>
  <c r="F97" i="3" a="1"/>
  <c r="F97" i="3" s="1"/>
  <c r="G97" i="3"/>
  <c r="E98" i="3"/>
  <c r="F98" i="3" a="1"/>
  <c r="F98" i="3" s="1"/>
  <c r="G98" i="3"/>
  <c r="E99" i="3"/>
  <c r="F99" i="3" a="1"/>
  <c r="F99" i="3" s="1"/>
  <c r="G99" i="3"/>
  <c r="E100" i="3"/>
  <c r="F100" i="3" a="1"/>
  <c r="F100" i="3" s="1"/>
  <c r="G100" i="3"/>
  <c r="E101" i="3"/>
  <c r="F101" i="3" a="1"/>
  <c r="F101" i="3" s="1"/>
  <c r="G101" i="3"/>
  <c r="E102" i="3"/>
  <c r="F102" i="3" a="1"/>
  <c r="F102" i="3" s="1"/>
  <c r="G102" i="3"/>
  <c r="E103" i="3"/>
  <c r="F103" i="3" a="1"/>
  <c r="F103" i="3" s="1"/>
  <c r="G103" i="3"/>
  <c r="E104" i="3"/>
  <c r="F104" i="3" a="1"/>
  <c r="F104" i="3" s="1"/>
  <c r="G104" i="3"/>
  <c r="E105" i="3"/>
  <c r="F105" i="3" a="1"/>
  <c r="F105" i="3" s="1"/>
  <c r="G105" i="3"/>
  <c r="E106" i="3"/>
  <c r="F106" i="3" a="1"/>
  <c r="F106" i="3" s="1"/>
  <c r="G106" i="3"/>
  <c r="E107" i="3"/>
  <c r="F107" i="3" a="1"/>
  <c r="F107" i="3" s="1"/>
  <c r="G107" i="3"/>
  <c r="E108" i="3"/>
  <c r="F108" i="3" a="1"/>
  <c r="F108" i="3" s="1"/>
  <c r="G108" i="3"/>
  <c r="E109" i="3"/>
  <c r="F109" i="3" a="1"/>
  <c r="F109" i="3" s="1"/>
  <c r="G109" i="3"/>
  <c r="E110" i="3"/>
  <c r="F110" i="3" a="1"/>
  <c r="F110" i="3" s="1"/>
  <c r="G110" i="3"/>
  <c r="E111" i="3"/>
  <c r="F111" i="3" a="1"/>
  <c r="F111" i="3" s="1"/>
  <c r="G111" i="3"/>
  <c r="E112" i="3"/>
  <c r="F112" i="3" a="1"/>
  <c r="F112" i="3" s="1"/>
  <c r="G112" i="3"/>
  <c r="E113" i="3"/>
  <c r="F113" i="3" a="1"/>
  <c r="F113" i="3" s="1"/>
  <c r="G113" i="3"/>
  <c r="E114" i="3"/>
  <c r="F114" i="3" a="1"/>
  <c r="F114" i="3" s="1"/>
  <c r="G114" i="3"/>
  <c r="E115" i="3"/>
  <c r="F115" i="3" a="1"/>
  <c r="F115" i="3" s="1"/>
  <c r="G115" i="3"/>
  <c r="E116" i="3"/>
  <c r="F116" i="3" a="1"/>
  <c r="F116" i="3" s="1"/>
  <c r="G116" i="3"/>
  <c r="E117" i="3"/>
  <c r="F117" i="3" a="1"/>
  <c r="F117" i="3" s="1"/>
  <c r="G117" i="3"/>
  <c r="E118" i="3"/>
  <c r="F118" i="3" a="1"/>
  <c r="F118" i="3" s="1"/>
  <c r="G118" i="3"/>
  <c r="E119" i="3"/>
  <c r="F119" i="3" a="1"/>
  <c r="F119" i="3" s="1"/>
  <c r="G119" i="3"/>
  <c r="E120" i="3"/>
  <c r="F120" i="3" a="1"/>
  <c r="F120" i="3" s="1"/>
  <c r="G120" i="3"/>
  <c r="E121" i="3"/>
  <c r="F121" i="3" a="1"/>
  <c r="F121" i="3" s="1"/>
  <c r="G121" i="3"/>
  <c r="E122" i="3"/>
  <c r="F122" i="3" a="1"/>
  <c r="F122" i="3" s="1"/>
  <c r="G122" i="3"/>
  <c r="E123" i="3"/>
  <c r="F123" i="3" a="1"/>
  <c r="F123" i="3" s="1"/>
  <c r="G123" i="3"/>
  <c r="E124" i="3"/>
  <c r="F124" i="3" a="1"/>
  <c r="F124" i="3" s="1"/>
  <c r="G124" i="3"/>
  <c r="E125" i="3"/>
  <c r="F125" i="3" a="1"/>
  <c r="F125" i="3" s="1"/>
  <c r="G125" i="3"/>
  <c r="E126" i="3"/>
  <c r="F126" i="3" a="1"/>
  <c r="F126" i="3" s="1"/>
  <c r="G126" i="3"/>
  <c r="E127" i="3"/>
  <c r="F127" i="3" a="1"/>
  <c r="F127" i="3" s="1"/>
  <c r="G127" i="3"/>
  <c r="E128" i="3"/>
  <c r="F128" i="3" a="1"/>
  <c r="F128" i="3" s="1"/>
  <c r="G128" i="3"/>
  <c r="E129" i="3"/>
  <c r="F129" i="3" a="1"/>
  <c r="F129" i="3" s="1"/>
  <c r="G129" i="3"/>
  <c r="E130" i="3"/>
  <c r="F130" i="3" a="1"/>
  <c r="F130" i="3" s="1"/>
  <c r="G130" i="3"/>
  <c r="E131" i="3"/>
  <c r="F131" i="3" a="1"/>
  <c r="F131" i="3" s="1"/>
  <c r="G131" i="3"/>
  <c r="E132" i="3"/>
  <c r="F132" i="3" a="1"/>
  <c r="F132" i="3" s="1"/>
  <c r="G132" i="3"/>
  <c r="E133" i="3"/>
  <c r="F133" i="3" a="1"/>
  <c r="F133" i="3" s="1"/>
  <c r="G133" i="3"/>
  <c r="E134" i="3"/>
  <c r="F134" i="3" a="1"/>
  <c r="F134" i="3" s="1"/>
  <c r="G134" i="3"/>
  <c r="E135" i="3"/>
  <c r="F135" i="3" a="1"/>
  <c r="F135" i="3" s="1"/>
  <c r="G135" i="3"/>
  <c r="E136" i="3"/>
  <c r="F136" i="3" a="1"/>
  <c r="F136" i="3" s="1"/>
  <c r="G136" i="3"/>
  <c r="E137" i="3"/>
  <c r="F137" i="3" a="1"/>
  <c r="F137" i="3" s="1"/>
  <c r="G137" i="3"/>
  <c r="E138" i="3"/>
  <c r="F138" i="3" a="1"/>
  <c r="F138" i="3" s="1"/>
  <c r="G138" i="3"/>
  <c r="E139" i="3"/>
  <c r="F139" i="3" a="1"/>
  <c r="F139" i="3" s="1"/>
  <c r="G139" i="3"/>
  <c r="E140" i="3"/>
  <c r="F140" i="3" a="1"/>
  <c r="F140" i="3" s="1"/>
  <c r="G140" i="3"/>
  <c r="E141" i="3"/>
  <c r="F141" i="3" a="1"/>
  <c r="F141" i="3" s="1"/>
  <c r="G141" i="3"/>
  <c r="E142" i="3"/>
  <c r="F142" i="3" a="1"/>
  <c r="F142" i="3" s="1"/>
  <c r="G142" i="3"/>
  <c r="E143" i="3"/>
  <c r="F143" i="3" a="1"/>
  <c r="F143" i="3" s="1"/>
  <c r="G143" i="3"/>
  <c r="E144" i="3"/>
  <c r="F144" i="3" a="1"/>
  <c r="F144" i="3" s="1"/>
  <c r="G144" i="3"/>
  <c r="E145" i="3"/>
  <c r="F145" i="3" a="1"/>
  <c r="F145" i="3" s="1"/>
  <c r="G145" i="3"/>
  <c r="E146" i="3"/>
  <c r="F146" i="3" a="1"/>
  <c r="F146" i="3" s="1"/>
  <c r="G146" i="3"/>
  <c r="E147" i="3"/>
  <c r="F147" i="3" a="1"/>
  <c r="F147" i="3" s="1"/>
  <c r="G147" i="3"/>
  <c r="E148" i="3"/>
  <c r="F148" i="3" a="1"/>
  <c r="F148" i="3" s="1"/>
  <c r="G148" i="3"/>
  <c r="E149" i="3"/>
  <c r="F149" i="3" a="1"/>
  <c r="F149" i="3" s="1"/>
  <c r="G149" i="3"/>
  <c r="E150" i="3"/>
  <c r="F150" i="3" a="1"/>
  <c r="F150" i="3" s="1"/>
  <c r="G150" i="3"/>
  <c r="E151" i="3"/>
  <c r="F151" i="3" a="1"/>
  <c r="F151" i="3" s="1"/>
  <c r="G151" i="3"/>
  <c r="E153" i="3"/>
  <c r="F153" i="3" a="1"/>
  <c r="F153" i="3" s="1"/>
  <c r="G153" i="3"/>
  <c r="E154" i="3"/>
  <c r="F154" i="3" a="1"/>
  <c r="F154" i="3" s="1"/>
  <c r="G154" i="3"/>
  <c r="E155" i="3"/>
  <c r="F155" i="3" a="1"/>
  <c r="F155" i="3" s="1"/>
  <c r="G155" i="3"/>
  <c r="E156" i="3"/>
  <c r="F156" i="3" a="1"/>
  <c r="F156" i="3" s="1"/>
  <c r="G156" i="3"/>
  <c r="E157" i="3"/>
  <c r="F157" i="3" a="1"/>
  <c r="F157" i="3" s="1"/>
  <c r="G157" i="3"/>
  <c r="E158" i="3"/>
  <c r="F158" i="3" a="1"/>
  <c r="F158" i="3" s="1"/>
  <c r="G158" i="3"/>
  <c r="E159" i="3"/>
  <c r="F159" i="3" a="1"/>
  <c r="F159" i="3" s="1"/>
  <c r="G159" i="3"/>
  <c r="E160" i="3"/>
  <c r="F160" i="3" a="1"/>
  <c r="F160" i="3" s="1"/>
  <c r="G160" i="3"/>
  <c r="E161" i="3"/>
  <c r="F161" i="3" a="1"/>
  <c r="F161" i="3" s="1"/>
  <c r="G161" i="3"/>
  <c r="E162" i="3"/>
  <c r="F162" i="3" a="1"/>
  <c r="F162" i="3" s="1"/>
  <c r="G162" i="3"/>
  <c r="E163" i="3"/>
  <c r="F163" i="3" a="1"/>
  <c r="F163" i="3" s="1"/>
  <c r="G163" i="3"/>
  <c r="E164" i="3"/>
  <c r="F164" i="3" a="1"/>
  <c r="F164" i="3" s="1"/>
  <c r="G164" i="3"/>
  <c r="E165" i="3"/>
  <c r="F165" i="3" a="1"/>
  <c r="F165" i="3" s="1"/>
  <c r="G165" i="3"/>
  <c r="E166" i="3"/>
  <c r="F166" i="3" a="1"/>
  <c r="F166" i="3" s="1"/>
  <c r="G166" i="3"/>
  <c r="E167" i="3"/>
  <c r="F167" i="3" a="1"/>
  <c r="F167" i="3" s="1"/>
  <c r="G167" i="3"/>
  <c r="E168" i="3"/>
  <c r="F168" i="3" a="1"/>
  <c r="F168" i="3" s="1"/>
  <c r="G168" i="3"/>
  <c r="E169" i="3"/>
  <c r="F169" i="3" a="1"/>
  <c r="F169" i="3" s="1"/>
  <c r="G169" i="3"/>
  <c r="E170" i="3"/>
  <c r="F170" i="3" a="1"/>
  <c r="F170" i="3" s="1"/>
  <c r="G170" i="3"/>
  <c r="E171" i="3"/>
  <c r="F171" i="3" a="1"/>
  <c r="F171" i="3" s="1"/>
  <c r="G171" i="3"/>
  <c r="E172" i="3"/>
  <c r="F172" i="3" a="1"/>
  <c r="F172" i="3" s="1"/>
  <c r="G172" i="3"/>
  <c r="E173" i="3"/>
  <c r="F173" i="3" a="1"/>
  <c r="F173" i="3" s="1"/>
  <c r="G173" i="3"/>
  <c r="E174" i="3"/>
  <c r="F174" i="3" a="1"/>
  <c r="F174" i="3" s="1"/>
  <c r="G174" i="3"/>
  <c r="E175" i="3"/>
  <c r="F175" i="3" a="1"/>
  <c r="F175" i="3" s="1"/>
  <c r="G175" i="3"/>
  <c r="E176" i="3"/>
  <c r="F176" i="3" a="1"/>
  <c r="F176" i="3" s="1"/>
  <c r="G176" i="3"/>
  <c r="E177" i="3"/>
  <c r="F177" i="3" a="1"/>
  <c r="F177" i="3" s="1"/>
  <c r="G177" i="3"/>
  <c r="E178" i="3"/>
  <c r="F178" i="3" a="1"/>
  <c r="F178" i="3" s="1"/>
  <c r="G178" i="3"/>
  <c r="E179" i="3"/>
  <c r="F179" i="3" a="1"/>
  <c r="F179" i="3" s="1"/>
  <c r="G179" i="3"/>
  <c r="E180" i="3"/>
  <c r="F180" i="3" a="1"/>
  <c r="F180" i="3" s="1"/>
  <c r="G180" i="3"/>
  <c r="E181" i="3"/>
  <c r="F181" i="3" a="1"/>
  <c r="F181" i="3" s="1"/>
  <c r="G181" i="3"/>
  <c r="E182" i="3"/>
  <c r="F182" i="3" a="1"/>
  <c r="F182" i="3" s="1"/>
  <c r="G182" i="3"/>
  <c r="E183" i="3"/>
  <c r="F183" i="3" a="1"/>
  <c r="F183" i="3" s="1"/>
  <c r="G183" i="3"/>
  <c r="E184" i="3"/>
  <c r="F184" i="3" a="1"/>
  <c r="F184" i="3" s="1"/>
  <c r="G184" i="3"/>
  <c r="E185" i="3"/>
  <c r="F185" i="3" a="1"/>
  <c r="F185" i="3" s="1"/>
  <c r="G185" i="3"/>
  <c r="E186" i="3"/>
  <c r="F186" i="3" a="1"/>
  <c r="F186" i="3" s="1"/>
  <c r="G186" i="3"/>
  <c r="E187" i="3"/>
  <c r="F187" i="3" a="1"/>
  <c r="F187" i="3" s="1"/>
  <c r="G187" i="3"/>
  <c r="E188" i="3"/>
  <c r="F188" i="3" a="1"/>
  <c r="F188" i="3" s="1"/>
  <c r="G188" i="3"/>
  <c r="E189" i="3"/>
  <c r="F189" i="3" a="1"/>
  <c r="F189" i="3" s="1"/>
  <c r="G189" i="3"/>
  <c r="E190" i="3"/>
  <c r="F190" i="3" a="1"/>
  <c r="F190" i="3" s="1"/>
  <c r="G190" i="3"/>
  <c r="E191" i="3"/>
  <c r="F191" i="3" a="1"/>
  <c r="F191" i="3" s="1"/>
  <c r="G191" i="3"/>
  <c r="E192" i="3"/>
  <c r="F192" i="3" a="1"/>
  <c r="F192" i="3" s="1"/>
  <c r="G192" i="3"/>
  <c r="E193" i="3"/>
  <c r="F193" i="3" a="1"/>
  <c r="F193" i="3" s="1"/>
  <c r="G193" i="3"/>
  <c r="M2" i="3"/>
  <c r="N2" i="3" s="1"/>
  <c r="M3" i="3"/>
  <c r="N3" i="3" s="1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7" i="3"/>
  <c r="N77" i="3" s="1"/>
  <c r="M78" i="3"/>
  <c r="N78" i="3" s="1"/>
  <c r="M79" i="3"/>
  <c r="N79" i="3" s="1"/>
  <c r="M80" i="3"/>
  <c r="N80" i="3" s="1"/>
  <c r="M81" i="3"/>
  <c r="N81" i="3" s="1"/>
  <c r="M82" i="3"/>
  <c r="N82" i="3" s="1"/>
  <c r="M83" i="3"/>
  <c r="N83" i="3" s="1"/>
  <c r="M84" i="3"/>
  <c r="N84" i="3" s="1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94" i="3"/>
  <c r="N94" i="3" s="1"/>
  <c r="M95" i="3"/>
  <c r="N95" i="3" s="1"/>
  <c r="M96" i="3"/>
  <c r="N96" i="3" s="1"/>
  <c r="M97" i="3"/>
  <c r="N97" i="3" s="1"/>
  <c r="M98" i="3"/>
  <c r="N98" i="3" s="1"/>
  <c r="M99" i="3"/>
  <c r="N99" i="3" s="1"/>
  <c r="M100" i="3"/>
  <c r="N100" i="3" s="1"/>
  <c r="M101" i="3"/>
  <c r="N101" i="3" s="1"/>
  <c r="M102" i="3"/>
  <c r="N102" i="3" s="1"/>
  <c r="M103" i="3"/>
  <c r="N103" i="3" s="1"/>
  <c r="M104" i="3"/>
  <c r="N104" i="3" s="1"/>
  <c r="M105" i="3"/>
  <c r="N105" i="3" s="1"/>
  <c r="M106" i="3"/>
  <c r="N106" i="3" s="1"/>
  <c r="M107" i="3"/>
  <c r="N107" i="3" s="1"/>
  <c r="M108" i="3"/>
  <c r="N108" i="3" s="1"/>
  <c r="M109" i="3"/>
  <c r="N109" i="3" s="1"/>
  <c r="M110" i="3"/>
  <c r="N110" i="3" s="1"/>
  <c r="M111" i="3"/>
  <c r="N111" i="3" s="1"/>
  <c r="M112" i="3"/>
  <c r="N112" i="3" s="1"/>
  <c r="M113" i="3"/>
  <c r="N113" i="3" s="1"/>
  <c r="M114" i="3"/>
  <c r="N114" i="3" s="1"/>
  <c r="M115" i="3"/>
  <c r="N115" i="3" s="1"/>
  <c r="M116" i="3"/>
  <c r="N116" i="3" s="1"/>
  <c r="M117" i="3"/>
  <c r="N117" i="3" s="1"/>
  <c r="M118" i="3"/>
  <c r="N118" i="3" s="1"/>
  <c r="M119" i="3"/>
  <c r="N119" i="3" s="1"/>
  <c r="M120" i="3"/>
  <c r="N120" i="3" s="1"/>
  <c r="M121" i="3"/>
  <c r="N121" i="3" s="1"/>
  <c r="M122" i="3"/>
  <c r="N122" i="3" s="1"/>
  <c r="M123" i="3"/>
  <c r="N123" i="3" s="1"/>
  <c r="M124" i="3"/>
  <c r="N124" i="3" s="1"/>
  <c r="M125" i="3"/>
  <c r="N125" i="3" s="1"/>
  <c r="M126" i="3"/>
  <c r="N126" i="3" s="1"/>
  <c r="M127" i="3"/>
  <c r="N127" i="3" s="1"/>
  <c r="M128" i="3"/>
  <c r="N128" i="3" s="1"/>
  <c r="M129" i="3"/>
  <c r="N129" i="3" s="1"/>
  <c r="M130" i="3"/>
  <c r="N130" i="3" s="1"/>
  <c r="M131" i="3"/>
  <c r="N131" i="3" s="1"/>
  <c r="M132" i="3"/>
  <c r="N132" i="3" s="1"/>
  <c r="M133" i="3"/>
  <c r="N133" i="3" s="1"/>
  <c r="M134" i="3"/>
  <c r="N134" i="3" s="1"/>
  <c r="M135" i="3"/>
  <c r="N135" i="3" s="1"/>
  <c r="M136" i="3"/>
  <c r="N136" i="3" s="1"/>
  <c r="M137" i="3"/>
  <c r="N137" i="3" s="1"/>
  <c r="M138" i="3"/>
  <c r="N138" i="3" s="1"/>
  <c r="M139" i="3"/>
  <c r="N139" i="3" s="1"/>
  <c r="M140" i="3"/>
  <c r="N140" i="3" s="1"/>
  <c r="M141" i="3"/>
  <c r="N141" i="3" s="1"/>
  <c r="M142" i="3"/>
  <c r="N142" i="3" s="1"/>
  <c r="M143" i="3"/>
  <c r="N143" i="3" s="1"/>
  <c r="M144" i="3"/>
  <c r="N144" i="3" s="1"/>
  <c r="M145" i="3"/>
  <c r="N145" i="3" s="1"/>
  <c r="M146" i="3"/>
  <c r="N146" i="3" s="1"/>
  <c r="M147" i="3"/>
  <c r="N147" i="3" s="1"/>
  <c r="M148" i="3"/>
  <c r="N148" i="3" s="1"/>
  <c r="M149" i="3"/>
  <c r="N149" i="3" s="1"/>
  <c r="M150" i="3"/>
  <c r="N150" i="3" s="1"/>
  <c r="M151" i="3"/>
  <c r="N151" i="3" s="1"/>
  <c r="M153" i="3"/>
  <c r="N153" i="3" s="1"/>
  <c r="M154" i="3"/>
  <c r="N154" i="3" s="1"/>
  <c r="M155" i="3"/>
  <c r="N155" i="3" s="1"/>
  <c r="M156" i="3"/>
  <c r="N156" i="3" s="1"/>
  <c r="M157" i="3"/>
  <c r="N157" i="3" s="1"/>
  <c r="M158" i="3"/>
  <c r="N158" i="3" s="1"/>
  <c r="M159" i="3"/>
  <c r="N159" i="3" s="1"/>
  <c r="M160" i="3"/>
  <c r="N160" i="3" s="1"/>
  <c r="M161" i="3"/>
  <c r="N161" i="3" s="1"/>
  <c r="M162" i="3"/>
  <c r="N162" i="3" s="1"/>
  <c r="M163" i="3"/>
  <c r="N163" i="3" s="1"/>
  <c r="M164" i="3"/>
  <c r="N164" i="3" s="1"/>
  <c r="M165" i="3"/>
  <c r="N165" i="3" s="1"/>
  <c r="M166" i="3"/>
  <c r="N166" i="3" s="1"/>
  <c r="M167" i="3"/>
  <c r="N167" i="3" s="1"/>
  <c r="M168" i="3"/>
  <c r="N168" i="3" s="1"/>
  <c r="M169" i="3"/>
  <c r="N169" i="3" s="1"/>
  <c r="M170" i="3"/>
  <c r="N170" i="3" s="1"/>
  <c r="M171" i="3"/>
  <c r="N171" i="3" s="1"/>
  <c r="M172" i="3"/>
  <c r="N172" i="3" s="1"/>
  <c r="M173" i="3"/>
  <c r="N173" i="3" s="1"/>
  <c r="M174" i="3"/>
  <c r="N174" i="3" s="1"/>
  <c r="M175" i="3"/>
  <c r="N175" i="3" s="1"/>
  <c r="M176" i="3"/>
  <c r="N176" i="3" s="1"/>
  <c r="M177" i="3"/>
  <c r="N177" i="3" s="1"/>
  <c r="M178" i="3"/>
  <c r="N178" i="3" s="1"/>
  <c r="M179" i="3"/>
  <c r="N179" i="3" s="1"/>
  <c r="M180" i="3"/>
  <c r="N180" i="3" s="1"/>
  <c r="M181" i="3"/>
  <c r="N181" i="3" s="1"/>
  <c r="M182" i="3"/>
  <c r="N182" i="3" s="1"/>
  <c r="M183" i="3"/>
  <c r="N183" i="3" s="1"/>
  <c r="M184" i="3"/>
  <c r="N184" i="3" s="1"/>
  <c r="M185" i="3"/>
  <c r="N185" i="3" s="1"/>
  <c r="M186" i="3"/>
  <c r="N186" i="3" s="1"/>
  <c r="M187" i="3"/>
  <c r="N187" i="3" s="1"/>
  <c r="M188" i="3"/>
  <c r="N188" i="3" s="1"/>
  <c r="M189" i="3"/>
  <c r="N189" i="3" s="1"/>
  <c r="M190" i="3"/>
  <c r="N190" i="3" s="1"/>
  <c r="M191" i="3"/>
  <c r="N191" i="3" s="1"/>
  <c r="M192" i="3"/>
  <c r="N192" i="3" s="1"/>
  <c r="M193" i="3"/>
  <c r="N193" i="3" s="1"/>
  <c r="P78" i="3"/>
  <c r="Q78" i="3" s="1"/>
  <c r="R78" i="3" s="1"/>
  <c r="P149" i="3"/>
  <c r="Q149" i="3" s="1"/>
  <c r="R149" i="3" s="1"/>
  <c r="P148" i="3"/>
  <c r="Q148" i="3" s="1"/>
  <c r="R148" i="3" s="1"/>
  <c r="S78" i="3"/>
  <c r="T78" i="3" s="1"/>
  <c r="U78" i="3" s="1"/>
  <c r="S149" i="3"/>
  <c r="T149" i="3" s="1"/>
  <c r="U149" i="3" s="1"/>
  <c r="S148" i="3"/>
  <c r="T148" i="3" s="1"/>
  <c r="U148" i="3" s="1"/>
  <c r="V78" i="3"/>
  <c r="V149" i="3"/>
  <c r="V148" i="3"/>
  <c r="B16" i="4"/>
  <c r="B17" i="4" s="1"/>
  <c r="B18" i="4" s="1"/>
  <c r="P178" i="3"/>
  <c r="Q178" i="3" s="1"/>
  <c r="R178" i="3" s="1"/>
  <c r="P150" i="3"/>
  <c r="Q150" i="3" s="1"/>
  <c r="R150" i="3" s="1"/>
  <c r="P52" i="3"/>
  <c r="Q52" i="3" s="1"/>
  <c r="R52" i="3" s="1"/>
  <c r="P151" i="3"/>
  <c r="Q151" i="3" s="1"/>
  <c r="R151" i="3" s="1"/>
  <c r="P67" i="3"/>
  <c r="Q67" i="3" s="1"/>
  <c r="R67" i="3" s="1"/>
  <c r="P136" i="3"/>
  <c r="Q136" i="3" s="1"/>
  <c r="R136" i="3" s="1"/>
  <c r="P95" i="3"/>
  <c r="Q95" i="3" s="1"/>
  <c r="R95" i="3" s="1"/>
  <c r="S178" i="3"/>
  <c r="T178" i="3" s="1"/>
  <c r="U178" i="3" s="1"/>
  <c r="S150" i="3"/>
  <c r="T150" i="3" s="1"/>
  <c r="U150" i="3" s="1"/>
  <c r="S52" i="3"/>
  <c r="T52" i="3" s="1"/>
  <c r="U52" i="3" s="1"/>
  <c r="S151" i="3"/>
  <c r="T151" i="3" s="1"/>
  <c r="U151" i="3" s="1"/>
  <c r="S67" i="3"/>
  <c r="T67" i="3" s="1"/>
  <c r="U67" i="3" s="1"/>
  <c r="S136" i="3"/>
  <c r="T136" i="3" s="1"/>
  <c r="U136" i="3" s="1"/>
  <c r="S95" i="3"/>
  <c r="T95" i="3" s="1"/>
  <c r="U95" i="3" s="1"/>
  <c r="V178" i="3"/>
  <c r="V150" i="3"/>
  <c r="V52" i="3"/>
  <c r="V151" i="3"/>
  <c r="V67" i="3"/>
  <c r="V136" i="3"/>
  <c r="V95" i="3"/>
  <c r="B8" i="4"/>
  <c r="V82" i="3"/>
  <c r="S82" i="3"/>
  <c r="T82" i="3" s="1"/>
  <c r="U82" i="3" s="1"/>
  <c r="P82" i="3"/>
  <c r="Q82" i="3" s="1"/>
  <c r="R82" i="3" s="1"/>
  <c r="V84" i="3"/>
  <c r="S84" i="3"/>
  <c r="T84" i="3" s="1"/>
  <c r="U84" i="3" s="1"/>
  <c r="P84" i="3"/>
  <c r="Q84" i="3" s="1"/>
  <c r="R84" i="3" s="1"/>
  <c r="V80" i="3"/>
  <c r="S80" i="3"/>
  <c r="T80" i="3" s="1"/>
  <c r="U80" i="3" s="1"/>
  <c r="P80" i="3"/>
  <c r="Q80" i="3" s="1"/>
  <c r="R80" i="3" s="1"/>
  <c r="V81" i="3"/>
  <c r="S81" i="3"/>
  <c r="T81" i="3" s="1"/>
  <c r="U81" i="3" s="1"/>
  <c r="P81" i="3"/>
  <c r="Q81" i="3" s="1"/>
  <c r="R81" i="3" s="1"/>
  <c r="V83" i="3"/>
  <c r="S83" i="3"/>
  <c r="T83" i="3" s="1"/>
  <c r="U83" i="3" s="1"/>
  <c r="P83" i="3"/>
  <c r="Q83" i="3" s="1"/>
  <c r="R83" i="3" s="1"/>
  <c r="V79" i="3"/>
  <c r="S79" i="3"/>
  <c r="T79" i="3" s="1"/>
  <c r="U79" i="3" s="1"/>
  <c r="P79" i="3"/>
  <c r="Q79" i="3" s="1"/>
  <c r="R79" i="3" s="1"/>
  <c r="V6" i="3"/>
  <c r="S6" i="3"/>
  <c r="T6" i="3" s="1"/>
  <c r="U6" i="3" s="1"/>
  <c r="P6" i="3"/>
  <c r="Q6" i="3" s="1"/>
  <c r="R6" i="3" s="1"/>
  <c r="V141" i="3"/>
  <c r="S141" i="3"/>
  <c r="T141" i="3" s="1"/>
  <c r="U141" i="3" s="1"/>
  <c r="P141" i="3"/>
  <c r="Q141" i="3" s="1"/>
  <c r="R141" i="3" s="1"/>
  <c r="V142" i="3"/>
  <c r="S142" i="3"/>
  <c r="T142" i="3" s="1"/>
  <c r="U142" i="3" s="1"/>
  <c r="P142" i="3"/>
  <c r="Q142" i="3" s="1"/>
  <c r="R142" i="3" s="1"/>
  <c r="V108" i="3"/>
  <c r="S108" i="3"/>
  <c r="T108" i="3" s="1"/>
  <c r="U108" i="3" s="1"/>
  <c r="P108" i="3"/>
  <c r="Q108" i="3" s="1"/>
  <c r="R108" i="3" s="1"/>
  <c r="V111" i="3"/>
  <c r="S111" i="3"/>
  <c r="T111" i="3" s="1"/>
  <c r="U111" i="3" s="1"/>
  <c r="P111" i="3"/>
  <c r="Q111" i="3" s="1"/>
  <c r="R111" i="3" s="1"/>
  <c r="V110" i="3"/>
  <c r="S110" i="3"/>
  <c r="T110" i="3" s="1"/>
  <c r="U110" i="3" s="1"/>
  <c r="P110" i="3"/>
  <c r="Q110" i="3" s="1"/>
  <c r="R110" i="3" s="1"/>
  <c r="V109" i="3"/>
  <c r="S109" i="3"/>
  <c r="T109" i="3" s="1"/>
  <c r="U109" i="3" s="1"/>
  <c r="P109" i="3"/>
  <c r="Q109" i="3" s="1"/>
  <c r="R109" i="3" s="1"/>
  <c r="V107" i="3"/>
  <c r="S107" i="3"/>
  <c r="T107" i="3" s="1"/>
  <c r="U107" i="3" s="1"/>
  <c r="P107" i="3"/>
  <c r="Q107" i="3" s="1"/>
  <c r="R107" i="3" s="1"/>
  <c r="V94" i="3"/>
  <c r="S94" i="3"/>
  <c r="T94" i="3" s="1"/>
  <c r="U94" i="3" s="1"/>
  <c r="P94" i="3"/>
  <c r="Q94" i="3" s="1"/>
  <c r="R94" i="3" s="1"/>
  <c r="V93" i="3"/>
  <c r="S93" i="3"/>
  <c r="T93" i="3" s="1"/>
  <c r="U93" i="3" s="1"/>
  <c r="P93" i="3"/>
  <c r="Q93" i="3" s="1"/>
  <c r="R93" i="3" s="1"/>
  <c r="V169" i="3"/>
  <c r="S169" i="3"/>
  <c r="T169" i="3" s="1"/>
  <c r="U169" i="3" s="1"/>
  <c r="P169" i="3"/>
  <c r="Q169" i="3" s="1"/>
  <c r="R169" i="3" s="1"/>
  <c r="V173" i="3"/>
  <c r="S173" i="3"/>
  <c r="T173" i="3" s="1"/>
  <c r="U173" i="3" s="1"/>
  <c r="P173" i="3"/>
  <c r="Q173" i="3" s="1"/>
  <c r="R173" i="3" s="1"/>
  <c r="V9" i="3"/>
  <c r="S9" i="3"/>
  <c r="T9" i="3" s="1"/>
  <c r="U9" i="3" s="1"/>
  <c r="P9" i="3"/>
  <c r="Q9" i="3" s="1"/>
  <c r="R9" i="3" s="1"/>
  <c r="V8" i="3"/>
  <c r="S8" i="3"/>
  <c r="T8" i="3" s="1"/>
  <c r="U8" i="3" s="1"/>
  <c r="P8" i="3"/>
  <c r="Q8" i="3" s="1"/>
  <c r="R8" i="3" s="1"/>
  <c r="V7" i="3"/>
  <c r="S7" i="3"/>
  <c r="T7" i="3" s="1"/>
  <c r="U7" i="3" s="1"/>
  <c r="P7" i="3"/>
  <c r="Q7" i="3" s="1"/>
  <c r="R7" i="3" s="1"/>
  <c r="V73" i="3"/>
  <c r="S73" i="3"/>
  <c r="T73" i="3" s="1"/>
  <c r="U73" i="3" s="1"/>
  <c r="P73" i="3"/>
  <c r="Q73" i="3" s="1"/>
  <c r="R73" i="3" s="1"/>
  <c r="V62" i="3"/>
  <c r="S62" i="3"/>
  <c r="T62" i="3" s="1"/>
  <c r="U62" i="3" s="1"/>
  <c r="P62" i="3"/>
  <c r="Q62" i="3" s="1"/>
  <c r="R62" i="3" s="1"/>
  <c r="V61" i="3"/>
  <c r="S61" i="3"/>
  <c r="T61" i="3" s="1"/>
  <c r="U61" i="3" s="1"/>
  <c r="P61" i="3"/>
  <c r="Q61" i="3" s="1"/>
  <c r="R61" i="3" s="1"/>
  <c r="V64" i="3"/>
  <c r="S64" i="3"/>
  <c r="T64" i="3" s="1"/>
  <c r="U64" i="3" s="1"/>
  <c r="P64" i="3"/>
  <c r="Q64" i="3" s="1"/>
  <c r="R64" i="3" s="1"/>
  <c r="V63" i="3"/>
  <c r="S63" i="3"/>
  <c r="T63" i="3" s="1"/>
  <c r="U63" i="3" s="1"/>
  <c r="P63" i="3"/>
  <c r="Q63" i="3" s="1"/>
  <c r="R63" i="3" s="1"/>
  <c r="V168" i="3"/>
  <c r="S168" i="3"/>
  <c r="T168" i="3" s="1"/>
  <c r="U168" i="3" s="1"/>
  <c r="P168" i="3"/>
  <c r="Q168" i="3" s="1"/>
  <c r="R168" i="3" s="1"/>
  <c r="V172" i="3"/>
  <c r="S172" i="3"/>
  <c r="T172" i="3" s="1"/>
  <c r="U172" i="3" s="1"/>
  <c r="P172" i="3"/>
  <c r="Q172" i="3" s="1"/>
  <c r="R172" i="3" s="1"/>
  <c r="V170" i="3"/>
  <c r="S170" i="3"/>
  <c r="T170" i="3" s="1"/>
  <c r="U170" i="3" s="1"/>
  <c r="P170" i="3"/>
  <c r="Q170" i="3" s="1"/>
  <c r="R170" i="3" s="1"/>
  <c r="V77" i="3"/>
  <c r="S77" i="3"/>
  <c r="T77" i="3" s="1"/>
  <c r="U77" i="3" s="1"/>
  <c r="P77" i="3"/>
  <c r="Q77" i="3" s="1"/>
  <c r="R77" i="3" s="1"/>
  <c r="V75" i="3"/>
  <c r="S75" i="3"/>
  <c r="T75" i="3" s="1"/>
  <c r="U75" i="3" s="1"/>
  <c r="P75" i="3"/>
  <c r="Q75" i="3" s="1"/>
  <c r="R75" i="3" s="1"/>
  <c r="V74" i="3"/>
  <c r="S74" i="3"/>
  <c r="T74" i="3" s="1"/>
  <c r="U74" i="3" s="1"/>
  <c r="P74" i="3"/>
  <c r="Q74" i="3" s="1"/>
  <c r="R74" i="3" s="1"/>
  <c r="V146" i="3"/>
  <c r="S146" i="3"/>
  <c r="T146" i="3" s="1"/>
  <c r="U146" i="3" s="1"/>
  <c r="P146" i="3"/>
  <c r="Q146" i="3" s="1"/>
  <c r="R146" i="3" s="1"/>
  <c r="V144" i="3"/>
  <c r="S144" i="3"/>
  <c r="T144" i="3" s="1"/>
  <c r="U144" i="3" s="1"/>
  <c r="P144" i="3"/>
  <c r="Q144" i="3" s="1"/>
  <c r="R144" i="3" s="1"/>
  <c r="V143" i="3"/>
  <c r="S143" i="3"/>
  <c r="T143" i="3" s="1"/>
  <c r="U143" i="3" s="1"/>
  <c r="P143" i="3"/>
  <c r="Q143" i="3" s="1"/>
  <c r="R143" i="3" s="1"/>
  <c r="V145" i="3"/>
  <c r="S145" i="3"/>
  <c r="T145" i="3" s="1"/>
  <c r="U145" i="3" s="1"/>
  <c r="P145" i="3"/>
  <c r="Q145" i="3" s="1"/>
  <c r="R145" i="3" s="1"/>
  <c r="V128" i="3"/>
  <c r="S128" i="3"/>
  <c r="T128" i="3" s="1"/>
  <c r="U128" i="3" s="1"/>
  <c r="P128" i="3"/>
  <c r="Q128" i="3" s="1"/>
  <c r="R128" i="3" s="1"/>
  <c r="V127" i="3"/>
  <c r="S127" i="3"/>
  <c r="T127" i="3" s="1"/>
  <c r="U127" i="3" s="1"/>
  <c r="P127" i="3"/>
  <c r="Q127" i="3" s="1"/>
  <c r="R127" i="3" s="1"/>
  <c r="V19" i="3"/>
  <c r="S19" i="3"/>
  <c r="T19" i="3" s="1"/>
  <c r="U19" i="3" s="1"/>
  <c r="P19" i="3"/>
  <c r="Q19" i="3" s="1"/>
  <c r="R19" i="3" s="1"/>
  <c r="V51" i="3"/>
  <c r="S51" i="3"/>
  <c r="T51" i="3" s="1"/>
  <c r="U51" i="3" s="1"/>
  <c r="P51" i="3"/>
  <c r="Q51" i="3" s="1"/>
  <c r="R51" i="3" s="1"/>
  <c r="V90" i="3"/>
  <c r="S90" i="3"/>
  <c r="T90" i="3" s="1"/>
  <c r="U90" i="3" s="1"/>
  <c r="P90" i="3"/>
  <c r="Q90" i="3" s="1"/>
  <c r="R90" i="3" s="1"/>
  <c r="V89" i="3"/>
  <c r="S89" i="3"/>
  <c r="T89" i="3" s="1"/>
  <c r="U89" i="3" s="1"/>
  <c r="P89" i="3"/>
  <c r="Q89" i="3" s="1"/>
  <c r="R89" i="3" s="1"/>
  <c r="V88" i="3"/>
  <c r="S88" i="3"/>
  <c r="T88" i="3" s="1"/>
  <c r="U88" i="3" s="1"/>
  <c r="P88" i="3"/>
  <c r="Q88" i="3" s="1"/>
  <c r="R88" i="3" s="1"/>
  <c r="V147" i="3"/>
  <c r="S147" i="3"/>
  <c r="T147" i="3" s="1"/>
  <c r="U147" i="3" s="1"/>
  <c r="P147" i="3"/>
  <c r="Q147" i="3" s="1"/>
  <c r="R147" i="3" s="1"/>
  <c r="V130" i="3"/>
  <c r="S130" i="3"/>
  <c r="T130" i="3" s="1"/>
  <c r="U130" i="3" s="1"/>
  <c r="P130" i="3"/>
  <c r="Q130" i="3" s="1"/>
  <c r="R130" i="3" s="1"/>
  <c r="V131" i="3"/>
  <c r="S131" i="3"/>
  <c r="T131" i="3" s="1"/>
  <c r="U131" i="3" s="1"/>
  <c r="P131" i="3"/>
  <c r="Q131" i="3" s="1"/>
  <c r="R131" i="3" s="1"/>
  <c r="V132" i="3"/>
  <c r="S132" i="3"/>
  <c r="T132" i="3" s="1"/>
  <c r="U132" i="3" s="1"/>
  <c r="P132" i="3"/>
  <c r="Q132" i="3" s="1"/>
  <c r="R132" i="3" s="1"/>
  <c r="V114" i="3"/>
  <c r="S114" i="3"/>
  <c r="T114" i="3" s="1"/>
  <c r="U114" i="3" s="1"/>
  <c r="P114" i="3"/>
  <c r="Q114" i="3" s="1"/>
  <c r="R114" i="3" s="1"/>
  <c r="V115" i="3"/>
  <c r="S115" i="3"/>
  <c r="T115" i="3" s="1"/>
  <c r="U115" i="3" s="1"/>
  <c r="P115" i="3"/>
  <c r="Q115" i="3" s="1"/>
  <c r="R115" i="3" s="1"/>
  <c r="V167" i="3"/>
  <c r="S167" i="3"/>
  <c r="T167" i="3" s="1"/>
  <c r="U167" i="3" s="1"/>
  <c r="P167" i="3"/>
  <c r="Q167" i="3" s="1"/>
  <c r="R167" i="3" s="1"/>
  <c r="V175" i="3"/>
  <c r="S175" i="3"/>
  <c r="T175" i="3" s="1"/>
  <c r="U175" i="3" s="1"/>
  <c r="P175" i="3"/>
  <c r="Q175" i="3" s="1"/>
  <c r="R175" i="3" s="1"/>
  <c r="V158" i="3"/>
  <c r="S158" i="3"/>
  <c r="T158" i="3" s="1"/>
  <c r="U158" i="3" s="1"/>
  <c r="P158" i="3"/>
  <c r="Q158" i="3" s="1"/>
  <c r="R158" i="3" s="1"/>
  <c r="V57" i="3"/>
  <c r="S57" i="3"/>
  <c r="T57" i="3" s="1"/>
  <c r="U57" i="3" s="1"/>
  <c r="P57" i="3"/>
  <c r="Q57" i="3" s="1"/>
  <c r="R57" i="3" s="1"/>
  <c r="V91" i="3"/>
  <c r="S91" i="3"/>
  <c r="T91" i="3" s="1"/>
  <c r="U91" i="3" s="1"/>
  <c r="P91" i="3"/>
  <c r="Q91" i="3" s="1"/>
  <c r="R91" i="3" s="1"/>
  <c r="V11" i="3"/>
  <c r="S11" i="3"/>
  <c r="T11" i="3" s="1"/>
  <c r="U11" i="3" s="1"/>
  <c r="P11" i="3"/>
  <c r="Q11" i="3" s="1"/>
  <c r="R11" i="3" s="1"/>
  <c r="V92" i="3"/>
  <c r="S92" i="3"/>
  <c r="T92" i="3" s="1"/>
  <c r="U92" i="3" s="1"/>
  <c r="P92" i="3"/>
  <c r="Q92" i="3" s="1"/>
  <c r="R92" i="3" s="1"/>
  <c r="V193" i="3"/>
  <c r="S193" i="3"/>
  <c r="T193" i="3" s="1"/>
  <c r="U193" i="3" s="1"/>
  <c r="P193" i="3"/>
  <c r="Q193" i="3" s="1"/>
  <c r="R193" i="3" s="1"/>
  <c r="V65" i="3"/>
  <c r="S65" i="3"/>
  <c r="T65" i="3" s="1"/>
  <c r="U65" i="3" s="1"/>
  <c r="P65" i="3"/>
  <c r="Q65" i="3" s="1"/>
  <c r="R65" i="3" s="1"/>
  <c r="V66" i="3"/>
  <c r="S66" i="3"/>
  <c r="T66" i="3" s="1"/>
  <c r="U66" i="3" s="1"/>
  <c r="P66" i="3"/>
  <c r="Q66" i="3" s="1"/>
  <c r="R66" i="3" s="1"/>
  <c r="V174" i="3"/>
  <c r="S174" i="3"/>
  <c r="T174" i="3" s="1"/>
  <c r="U174" i="3" s="1"/>
  <c r="P174" i="3"/>
  <c r="Q174" i="3" s="1"/>
  <c r="R174" i="3" s="1"/>
  <c r="V12" i="3"/>
  <c r="S12" i="3"/>
  <c r="T12" i="3" s="1"/>
  <c r="U12" i="3" s="1"/>
  <c r="P12" i="3"/>
  <c r="Q12" i="3" s="1"/>
  <c r="R12" i="3" s="1"/>
  <c r="V192" i="3"/>
  <c r="S192" i="3"/>
  <c r="T192" i="3" s="1"/>
  <c r="U192" i="3" s="1"/>
  <c r="P192" i="3"/>
  <c r="Q192" i="3" s="1"/>
  <c r="R192" i="3" s="1"/>
  <c r="V138" i="3"/>
  <c r="S138" i="3"/>
  <c r="T138" i="3" s="1"/>
  <c r="U138" i="3" s="1"/>
  <c r="P138" i="3"/>
  <c r="Q138" i="3" s="1"/>
  <c r="R138" i="3" s="1"/>
  <c r="V176" i="3"/>
  <c r="S176" i="3"/>
  <c r="T176" i="3" s="1"/>
  <c r="U176" i="3" s="1"/>
  <c r="P176" i="3"/>
  <c r="Q176" i="3" s="1"/>
  <c r="R176" i="3" s="1"/>
  <c r="V171" i="3"/>
  <c r="S171" i="3"/>
  <c r="T171" i="3" s="1"/>
  <c r="U171" i="3" s="1"/>
  <c r="P171" i="3"/>
  <c r="Q171" i="3" s="1"/>
  <c r="R171" i="3" s="1"/>
  <c r="V17" i="3"/>
  <c r="S17" i="3"/>
  <c r="T17" i="3" s="1"/>
  <c r="U17" i="3" s="1"/>
  <c r="P17" i="3"/>
  <c r="Q17" i="3" s="1"/>
  <c r="R17" i="3" s="1"/>
  <c r="V123" i="3"/>
  <c r="S123" i="3"/>
  <c r="T123" i="3" s="1"/>
  <c r="U123" i="3" s="1"/>
  <c r="P123" i="3"/>
  <c r="Q123" i="3" s="1"/>
  <c r="R123" i="3" s="1"/>
  <c r="V18" i="3"/>
  <c r="S18" i="3"/>
  <c r="T18" i="3" s="1"/>
  <c r="U18" i="3" s="1"/>
  <c r="P18" i="3"/>
  <c r="Q18" i="3" s="1"/>
  <c r="R18" i="3" s="1"/>
  <c r="V160" i="3"/>
  <c r="S160" i="3"/>
  <c r="T160" i="3" s="1"/>
  <c r="U160" i="3" s="1"/>
  <c r="P160" i="3"/>
  <c r="Q160" i="3" s="1"/>
  <c r="R160" i="3" s="1"/>
  <c r="V159" i="3"/>
  <c r="S159" i="3"/>
  <c r="T159" i="3" s="1"/>
  <c r="U159" i="3" s="1"/>
  <c r="P159" i="3"/>
  <c r="Q159" i="3" s="1"/>
  <c r="R159" i="3" s="1"/>
  <c r="V139" i="3"/>
  <c r="S139" i="3"/>
  <c r="T139" i="3" s="1"/>
  <c r="U139" i="3" s="1"/>
  <c r="P139" i="3"/>
  <c r="Q139" i="3" s="1"/>
  <c r="R139" i="3" s="1"/>
  <c r="V140" i="3"/>
  <c r="S140" i="3"/>
  <c r="T140" i="3" s="1"/>
  <c r="U140" i="3" s="1"/>
  <c r="P140" i="3"/>
  <c r="Q140" i="3" s="1"/>
  <c r="R140" i="3" s="1"/>
  <c r="V117" i="3"/>
  <c r="S117" i="3"/>
  <c r="T117" i="3" s="1"/>
  <c r="U117" i="3" s="1"/>
  <c r="P117" i="3"/>
  <c r="Q117" i="3" s="1"/>
  <c r="R117" i="3" s="1"/>
  <c r="V118" i="3"/>
  <c r="S118" i="3"/>
  <c r="T118" i="3" s="1"/>
  <c r="U118" i="3" s="1"/>
  <c r="P118" i="3"/>
  <c r="Q118" i="3" s="1"/>
  <c r="R118" i="3" s="1"/>
  <c r="V116" i="3"/>
  <c r="S116" i="3"/>
  <c r="T116" i="3" s="1"/>
  <c r="U116" i="3" s="1"/>
  <c r="P116" i="3"/>
  <c r="Q116" i="3" s="1"/>
  <c r="R116" i="3" s="1"/>
  <c r="V120" i="3"/>
  <c r="S120" i="3"/>
  <c r="T120" i="3" s="1"/>
  <c r="U120" i="3" s="1"/>
  <c r="P120" i="3"/>
  <c r="Q120" i="3" s="1"/>
  <c r="R120" i="3" s="1"/>
  <c r="V121" i="3"/>
  <c r="S121" i="3"/>
  <c r="T121" i="3" s="1"/>
  <c r="U121" i="3" s="1"/>
  <c r="P121" i="3"/>
  <c r="Q121" i="3" s="1"/>
  <c r="R121" i="3" s="1"/>
  <c r="V119" i="3"/>
  <c r="S119" i="3"/>
  <c r="T119" i="3" s="1"/>
  <c r="U119" i="3" s="1"/>
  <c r="P119" i="3"/>
  <c r="Q119" i="3" s="1"/>
  <c r="R119" i="3" s="1"/>
  <c r="V122" i="3"/>
  <c r="S122" i="3"/>
  <c r="T122" i="3" s="1"/>
  <c r="U122" i="3" s="1"/>
  <c r="P122" i="3"/>
  <c r="Q122" i="3" s="1"/>
  <c r="R122" i="3" s="1"/>
  <c r="V134" i="3"/>
  <c r="S134" i="3"/>
  <c r="T134" i="3" s="1"/>
  <c r="U134" i="3" s="1"/>
  <c r="P134" i="3"/>
  <c r="Q134" i="3" s="1"/>
  <c r="R134" i="3" s="1"/>
  <c r="V135" i="3"/>
  <c r="S135" i="3"/>
  <c r="T135" i="3" s="1"/>
  <c r="U135" i="3" s="1"/>
  <c r="P135" i="3"/>
  <c r="Q135" i="3" s="1"/>
  <c r="R135" i="3" s="1"/>
  <c r="V133" i="3"/>
  <c r="S133" i="3"/>
  <c r="T133" i="3" s="1"/>
  <c r="U133" i="3" s="1"/>
  <c r="P133" i="3"/>
  <c r="Q133" i="3" s="1"/>
  <c r="R133" i="3" s="1"/>
  <c r="V106" i="3"/>
  <c r="S106" i="3"/>
  <c r="T106" i="3" s="1"/>
  <c r="U106" i="3" s="1"/>
  <c r="P106" i="3"/>
  <c r="Q106" i="3" s="1"/>
  <c r="R106" i="3" s="1"/>
  <c r="V105" i="3"/>
  <c r="S105" i="3"/>
  <c r="T105" i="3" s="1"/>
  <c r="U105" i="3" s="1"/>
  <c r="P105" i="3"/>
  <c r="Q105" i="3" s="1"/>
  <c r="R105" i="3" s="1"/>
  <c r="V104" i="3"/>
  <c r="S104" i="3"/>
  <c r="T104" i="3" s="1"/>
  <c r="U104" i="3" s="1"/>
  <c r="P104" i="3"/>
  <c r="Q104" i="3" s="1"/>
  <c r="R104" i="3" s="1"/>
  <c r="V28" i="3"/>
  <c r="S28" i="3"/>
  <c r="T28" i="3" s="1"/>
  <c r="U28" i="3" s="1"/>
  <c r="P28" i="3"/>
  <c r="Q28" i="3" s="1"/>
  <c r="R28" i="3" s="1"/>
  <c r="V27" i="3"/>
  <c r="S27" i="3"/>
  <c r="T27" i="3" s="1"/>
  <c r="U27" i="3" s="1"/>
  <c r="P27" i="3"/>
  <c r="Q27" i="3" s="1"/>
  <c r="R27" i="3" s="1"/>
  <c r="V26" i="3"/>
  <c r="S26" i="3"/>
  <c r="T26" i="3" s="1"/>
  <c r="U26" i="3" s="1"/>
  <c r="P26" i="3"/>
  <c r="Q26" i="3" s="1"/>
  <c r="R26" i="3" s="1"/>
  <c r="V25" i="3"/>
  <c r="S25" i="3"/>
  <c r="T25" i="3" s="1"/>
  <c r="U25" i="3" s="1"/>
  <c r="P25" i="3"/>
  <c r="Q25" i="3" s="1"/>
  <c r="R25" i="3" s="1"/>
  <c r="V24" i="3"/>
  <c r="S24" i="3"/>
  <c r="T24" i="3" s="1"/>
  <c r="U24" i="3" s="1"/>
  <c r="P24" i="3"/>
  <c r="Q24" i="3" s="1"/>
  <c r="R24" i="3" s="1"/>
  <c r="V23" i="3"/>
  <c r="S23" i="3"/>
  <c r="T23" i="3" s="1"/>
  <c r="U23" i="3" s="1"/>
  <c r="P23" i="3"/>
  <c r="Q23" i="3" s="1"/>
  <c r="R23" i="3" s="1"/>
  <c r="V22" i="3"/>
  <c r="S22" i="3"/>
  <c r="T22" i="3" s="1"/>
  <c r="U22" i="3" s="1"/>
  <c r="P22" i="3"/>
  <c r="Q22" i="3" s="1"/>
  <c r="R22" i="3" s="1"/>
  <c r="V21" i="3"/>
  <c r="S21" i="3"/>
  <c r="T21" i="3" s="1"/>
  <c r="U21" i="3" s="1"/>
  <c r="P21" i="3"/>
  <c r="Q21" i="3" s="1"/>
  <c r="R21" i="3" s="1"/>
  <c r="V161" i="3"/>
  <c r="S161" i="3"/>
  <c r="T161" i="3" s="1"/>
  <c r="U161" i="3" s="1"/>
  <c r="P161" i="3"/>
  <c r="Q161" i="3" s="1"/>
  <c r="R161" i="3" s="1"/>
  <c r="V166" i="3"/>
  <c r="S166" i="3"/>
  <c r="T166" i="3" s="1"/>
  <c r="U166" i="3" s="1"/>
  <c r="P166" i="3"/>
  <c r="Q166" i="3" s="1"/>
  <c r="R166" i="3" s="1"/>
  <c r="V165" i="3"/>
  <c r="S165" i="3"/>
  <c r="T165" i="3" s="1"/>
  <c r="U165" i="3" s="1"/>
  <c r="P165" i="3"/>
  <c r="Q165" i="3" s="1"/>
  <c r="R165" i="3" s="1"/>
  <c r="V164" i="3"/>
  <c r="S164" i="3"/>
  <c r="T164" i="3" s="1"/>
  <c r="U164" i="3" s="1"/>
  <c r="P164" i="3"/>
  <c r="Q164" i="3" s="1"/>
  <c r="R164" i="3" s="1"/>
  <c r="V163" i="3"/>
  <c r="S163" i="3"/>
  <c r="T163" i="3" s="1"/>
  <c r="U163" i="3" s="1"/>
  <c r="P163" i="3"/>
  <c r="Q163" i="3" s="1"/>
  <c r="R163" i="3" s="1"/>
  <c r="V162" i="3"/>
  <c r="S162" i="3"/>
  <c r="T162" i="3" s="1"/>
  <c r="U162" i="3" s="1"/>
  <c r="P162" i="3"/>
  <c r="Q162" i="3" s="1"/>
  <c r="R162" i="3" s="1"/>
  <c r="V60" i="3"/>
  <c r="S60" i="3"/>
  <c r="T60" i="3" s="1"/>
  <c r="U60" i="3" s="1"/>
  <c r="P60" i="3"/>
  <c r="Q60" i="3" s="1"/>
  <c r="R60" i="3" s="1"/>
  <c r="V59" i="3"/>
  <c r="S59" i="3"/>
  <c r="T59" i="3" s="1"/>
  <c r="U59" i="3" s="1"/>
  <c r="P59" i="3"/>
  <c r="Q59" i="3" s="1"/>
  <c r="R59" i="3" s="1"/>
  <c r="V58" i="3"/>
  <c r="S58" i="3"/>
  <c r="T58" i="3" s="1"/>
  <c r="U58" i="3" s="1"/>
  <c r="P58" i="3"/>
  <c r="Q58" i="3" s="1"/>
  <c r="R58" i="3" s="1"/>
  <c r="V10" i="3"/>
  <c r="S10" i="3"/>
  <c r="T10" i="3" s="1"/>
  <c r="U10" i="3" s="1"/>
  <c r="P10" i="3"/>
  <c r="Q10" i="3" s="1"/>
  <c r="R10" i="3" s="1"/>
  <c r="V4" i="3"/>
  <c r="S4" i="3"/>
  <c r="T4" i="3" s="1"/>
  <c r="U4" i="3" s="1"/>
  <c r="P4" i="3"/>
  <c r="Q4" i="3" s="1"/>
  <c r="R4" i="3" s="1"/>
  <c r="V5" i="3"/>
  <c r="S5" i="3"/>
  <c r="T5" i="3" s="1"/>
  <c r="U5" i="3" s="1"/>
  <c r="P5" i="3"/>
  <c r="Q5" i="3" s="1"/>
  <c r="R5" i="3" s="1"/>
  <c r="V2" i="3"/>
  <c r="S2" i="3"/>
  <c r="T2" i="3" s="1"/>
  <c r="U2" i="3" s="1"/>
  <c r="P2" i="3"/>
  <c r="Q2" i="3" s="1"/>
  <c r="R2" i="3" s="1"/>
  <c r="V3" i="3"/>
  <c r="S3" i="3"/>
  <c r="T3" i="3" s="1"/>
  <c r="U3" i="3" s="1"/>
  <c r="P3" i="3"/>
  <c r="Q3" i="3" s="1"/>
  <c r="R3" i="3" s="1"/>
  <c r="V129" i="3"/>
  <c r="S129" i="3"/>
  <c r="T129" i="3" s="1"/>
  <c r="U129" i="3" s="1"/>
  <c r="P129" i="3"/>
  <c r="Q129" i="3" s="1"/>
  <c r="R129" i="3" s="1"/>
  <c r="V157" i="3"/>
  <c r="S157" i="3"/>
  <c r="T157" i="3" s="1"/>
  <c r="U157" i="3" s="1"/>
  <c r="P157" i="3"/>
  <c r="Q157" i="3" s="1"/>
  <c r="R157" i="3" s="1"/>
  <c r="V155" i="3"/>
  <c r="S155" i="3"/>
  <c r="T155" i="3" s="1"/>
  <c r="U155" i="3" s="1"/>
  <c r="P155" i="3"/>
  <c r="Q155" i="3" s="1"/>
  <c r="R155" i="3" s="1"/>
  <c r="V156" i="3"/>
  <c r="S156" i="3"/>
  <c r="T156" i="3" s="1"/>
  <c r="U156" i="3" s="1"/>
  <c r="P156" i="3"/>
  <c r="Q156" i="3" s="1"/>
  <c r="R156" i="3" s="1"/>
  <c r="V126" i="3"/>
  <c r="S126" i="3"/>
  <c r="T126" i="3" s="1"/>
  <c r="U126" i="3" s="1"/>
  <c r="P126" i="3"/>
  <c r="Q126" i="3" s="1"/>
  <c r="R126" i="3" s="1"/>
  <c r="V125" i="3"/>
  <c r="S125" i="3"/>
  <c r="T125" i="3" s="1"/>
  <c r="U125" i="3" s="1"/>
  <c r="P125" i="3"/>
  <c r="Q125" i="3" s="1"/>
  <c r="R125" i="3" s="1"/>
  <c r="V124" i="3"/>
  <c r="S124" i="3"/>
  <c r="T124" i="3" s="1"/>
  <c r="U124" i="3" s="1"/>
  <c r="P124" i="3"/>
  <c r="Q124" i="3" s="1"/>
  <c r="R124" i="3" s="1"/>
  <c r="V191" i="3"/>
  <c r="S191" i="3"/>
  <c r="T191" i="3" s="1"/>
  <c r="U191" i="3" s="1"/>
  <c r="P191" i="3"/>
  <c r="Q191" i="3" s="1"/>
  <c r="R191" i="3" s="1"/>
  <c r="V190" i="3"/>
  <c r="S190" i="3"/>
  <c r="T190" i="3" s="1"/>
  <c r="U190" i="3" s="1"/>
  <c r="P190" i="3"/>
  <c r="Q190" i="3" s="1"/>
  <c r="R190" i="3" s="1"/>
  <c r="V189" i="3"/>
  <c r="S189" i="3"/>
  <c r="T189" i="3" s="1"/>
  <c r="U189" i="3" s="1"/>
  <c r="P189" i="3"/>
  <c r="Q189" i="3" s="1"/>
  <c r="R189" i="3" s="1"/>
  <c r="V55" i="3"/>
  <c r="S55" i="3"/>
  <c r="T55" i="3" s="1"/>
  <c r="U55" i="3" s="1"/>
  <c r="P55" i="3"/>
  <c r="Q55" i="3" s="1"/>
  <c r="R55" i="3" s="1"/>
  <c r="V43" i="3"/>
  <c r="S43" i="3"/>
  <c r="T43" i="3" s="1"/>
  <c r="U43" i="3" s="1"/>
  <c r="P43" i="3"/>
  <c r="Q43" i="3" s="1"/>
  <c r="R43" i="3" s="1"/>
  <c r="V16" i="3"/>
  <c r="S16" i="3"/>
  <c r="T16" i="3" s="1"/>
  <c r="U16" i="3" s="1"/>
  <c r="P16" i="3"/>
  <c r="Q16" i="3" s="1"/>
  <c r="R16" i="3" s="1"/>
  <c r="V15" i="3"/>
  <c r="S15" i="3"/>
  <c r="T15" i="3" s="1"/>
  <c r="U15" i="3" s="1"/>
  <c r="P15" i="3"/>
  <c r="Q15" i="3" s="1"/>
  <c r="R15" i="3" s="1"/>
  <c r="V45" i="3"/>
  <c r="S45" i="3"/>
  <c r="T45" i="3" s="1"/>
  <c r="U45" i="3" s="1"/>
  <c r="P45" i="3"/>
  <c r="Q45" i="3" s="1"/>
  <c r="R45" i="3" s="1"/>
  <c r="V186" i="3"/>
  <c r="S186" i="3"/>
  <c r="T186" i="3" s="1"/>
  <c r="U186" i="3" s="1"/>
  <c r="P186" i="3"/>
  <c r="Q186" i="3" s="1"/>
  <c r="R186" i="3" s="1"/>
  <c r="V187" i="3"/>
  <c r="S187" i="3"/>
  <c r="T187" i="3" s="1"/>
  <c r="U187" i="3" s="1"/>
  <c r="P187" i="3"/>
  <c r="Q187" i="3" s="1"/>
  <c r="R187" i="3" s="1"/>
  <c r="V188" i="3"/>
  <c r="S188" i="3"/>
  <c r="T188" i="3" s="1"/>
  <c r="U188" i="3" s="1"/>
  <c r="P188" i="3"/>
  <c r="Q188" i="3" s="1"/>
  <c r="R188" i="3" s="1"/>
  <c r="V102" i="3"/>
  <c r="S102" i="3"/>
  <c r="T102" i="3" s="1"/>
  <c r="U102" i="3" s="1"/>
  <c r="P102" i="3"/>
  <c r="Q102" i="3" s="1"/>
  <c r="R102" i="3" s="1"/>
  <c r="V41" i="3"/>
  <c r="S41" i="3"/>
  <c r="T41" i="3" s="1"/>
  <c r="U41" i="3" s="1"/>
  <c r="P41" i="3"/>
  <c r="Q41" i="3" s="1"/>
  <c r="R41" i="3" s="1"/>
  <c r="V42" i="3"/>
  <c r="S42" i="3"/>
  <c r="T42" i="3" s="1"/>
  <c r="U42" i="3" s="1"/>
  <c r="P42" i="3"/>
  <c r="Q42" i="3" s="1"/>
  <c r="R42" i="3" s="1"/>
  <c r="V46" i="3"/>
  <c r="S46" i="3"/>
  <c r="T46" i="3" s="1"/>
  <c r="U46" i="3" s="1"/>
  <c r="P46" i="3"/>
  <c r="Q46" i="3" s="1"/>
  <c r="R46" i="3" s="1"/>
  <c r="V20" i="3"/>
  <c r="S20" i="3"/>
  <c r="T20" i="3" s="1"/>
  <c r="U20" i="3" s="1"/>
  <c r="P20" i="3"/>
  <c r="Q20" i="3" s="1"/>
  <c r="R20" i="3" s="1"/>
  <c r="V34" i="3"/>
  <c r="S34" i="3"/>
  <c r="T34" i="3" s="1"/>
  <c r="U34" i="3" s="1"/>
  <c r="P34" i="3"/>
  <c r="Q34" i="3" s="1"/>
  <c r="R34" i="3" s="1"/>
  <c r="V33" i="3"/>
  <c r="S33" i="3"/>
  <c r="T33" i="3" s="1"/>
  <c r="U33" i="3" s="1"/>
  <c r="P33" i="3"/>
  <c r="Q33" i="3" s="1"/>
  <c r="R33" i="3" s="1"/>
  <c r="V38" i="3"/>
  <c r="S38" i="3"/>
  <c r="T38" i="3" s="1"/>
  <c r="U38" i="3" s="1"/>
  <c r="P38" i="3"/>
  <c r="Q38" i="3" s="1"/>
  <c r="R38" i="3" s="1"/>
  <c r="V37" i="3"/>
  <c r="S37" i="3"/>
  <c r="T37" i="3" s="1"/>
  <c r="U37" i="3" s="1"/>
  <c r="P37" i="3"/>
  <c r="Q37" i="3" s="1"/>
  <c r="R37" i="3" s="1"/>
  <c r="V39" i="3"/>
  <c r="S39" i="3"/>
  <c r="T39" i="3" s="1"/>
  <c r="U39" i="3" s="1"/>
  <c r="P39" i="3"/>
  <c r="Q39" i="3" s="1"/>
  <c r="R39" i="3" s="1"/>
  <c r="V100" i="3"/>
  <c r="S100" i="3"/>
  <c r="T100" i="3" s="1"/>
  <c r="U100" i="3" s="1"/>
  <c r="P100" i="3"/>
  <c r="Q100" i="3" s="1"/>
  <c r="R100" i="3" s="1"/>
  <c r="V99" i="3"/>
  <c r="S99" i="3"/>
  <c r="T99" i="3" s="1"/>
  <c r="U99" i="3" s="1"/>
  <c r="P99" i="3"/>
  <c r="Q99" i="3" s="1"/>
  <c r="R99" i="3" s="1"/>
  <c r="V32" i="3"/>
  <c r="S32" i="3"/>
  <c r="T32" i="3" s="1"/>
  <c r="U32" i="3" s="1"/>
  <c r="P32" i="3"/>
  <c r="Q32" i="3" s="1"/>
  <c r="R32" i="3" s="1"/>
  <c r="V36" i="3"/>
  <c r="S36" i="3"/>
  <c r="T36" i="3" s="1"/>
  <c r="U36" i="3" s="1"/>
  <c r="P36" i="3"/>
  <c r="Q36" i="3" s="1"/>
  <c r="R36" i="3" s="1"/>
  <c r="V35" i="3"/>
  <c r="S35" i="3"/>
  <c r="T35" i="3" s="1"/>
  <c r="U35" i="3" s="1"/>
  <c r="P35" i="3"/>
  <c r="Q35" i="3" s="1"/>
  <c r="R35" i="3" s="1"/>
  <c r="V31" i="3"/>
  <c r="S31" i="3"/>
  <c r="T31" i="3" s="1"/>
  <c r="U31" i="3" s="1"/>
  <c r="P31" i="3"/>
  <c r="Q31" i="3" s="1"/>
  <c r="R31" i="3" s="1"/>
  <c r="V137" i="3"/>
  <c r="S137" i="3"/>
  <c r="T137" i="3" s="1"/>
  <c r="U137" i="3" s="1"/>
  <c r="P137" i="3"/>
  <c r="Q137" i="3" s="1"/>
  <c r="R137" i="3" s="1"/>
  <c r="V50" i="3"/>
  <c r="S50" i="3"/>
  <c r="T50" i="3" s="1"/>
  <c r="U50" i="3" s="1"/>
  <c r="P50" i="3"/>
  <c r="Q50" i="3" s="1"/>
  <c r="R50" i="3" s="1"/>
  <c r="V113" i="3"/>
  <c r="S113" i="3"/>
  <c r="T113" i="3" s="1"/>
  <c r="U113" i="3" s="1"/>
  <c r="P113" i="3"/>
  <c r="Q113" i="3" s="1"/>
  <c r="R113" i="3" s="1"/>
  <c r="V112" i="3"/>
  <c r="S112" i="3"/>
  <c r="T112" i="3" s="1"/>
  <c r="U112" i="3" s="1"/>
  <c r="P112" i="3"/>
  <c r="Q112" i="3" s="1"/>
  <c r="R112" i="3" s="1"/>
  <c r="V86" i="3"/>
  <c r="S86" i="3"/>
  <c r="T86" i="3" s="1"/>
  <c r="U86" i="3" s="1"/>
  <c r="P86" i="3"/>
  <c r="Q86" i="3" s="1"/>
  <c r="R86" i="3" s="1"/>
  <c r="V85" i="3"/>
  <c r="S85" i="3"/>
  <c r="T85" i="3" s="1"/>
  <c r="U85" i="3" s="1"/>
  <c r="P85" i="3"/>
  <c r="Q85" i="3" s="1"/>
  <c r="R85" i="3" s="1"/>
  <c r="V87" i="3"/>
  <c r="S87" i="3"/>
  <c r="T87" i="3" s="1"/>
  <c r="U87" i="3" s="1"/>
  <c r="P87" i="3"/>
  <c r="Q87" i="3" s="1"/>
  <c r="R87" i="3" s="1"/>
  <c r="V153" i="3"/>
  <c r="S153" i="3"/>
  <c r="T153" i="3" s="1"/>
  <c r="U153" i="3" s="1"/>
  <c r="P153" i="3"/>
  <c r="Q153" i="3" s="1"/>
  <c r="R153" i="3" s="1"/>
  <c r="V70" i="3"/>
  <c r="S70" i="3"/>
  <c r="T70" i="3" s="1"/>
  <c r="U70" i="3" s="1"/>
  <c r="P70" i="3"/>
  <c r="Q70" i="3" s="1"/>
  <c r="R70" i="3" s="1"/>
  <c r="V49" i="3"/>
  <c r="S49" i="3"/>
  <c r="T49" i="3" s="1"/>
  <c r="U49" i="3" s="1"/>
  <c r="P49" i="3"/>
  <c r="Q49" i="3" s="1"/>
  <c r="R49" i="3" s="1"/>
  <c r="V47" i="3"/>
  <c r="S47" i="3"/>
  <c r="T47" i="3" s="1"/>
  <c r="U47" i="3" s="1"/>
  <c r="P47" i="3"/>
  <c r="Q47" i="3" s="1"/>
  <c r="R47" i="3" s="1"/>
  <c r="V44" i="3"/>
  <c r="S44" i="3"/>
  <c r="T44" i="3" s="1"/>
  <c r="U44" i="3" s="1"/>
  <c r="P44" i="3"/>
  <c r="Q44" i="3" s="1"/>
  <c r="R44" i="3" s="1"/>
  <c r="V48" i="3"/>
  <c r="S48" i="3"/>
  <c r="T48" i="3" s="1"/>
  <c r="U48" i="3" s="1"/>
  <c r="P48" i="3"/>
  <c r="Q48" i="3" s="1"/>
  <c r="R48" i="3" s="1"/>
  <c r="V40" i="3"/>
  <c r="S40" i="3"/>
  <c r="T40" i="3" s="1"/>
  <c r="U40" i="3" s="1"/>
  <c r="P40" i="3"/>
  <c r="Q40" i="3" s="1"/>
  <c r="R40" i="3" s="1"/>
  <c r="V29" i="3"/>
  <c r="S29" i="3"/>
  <c r="T29" i="3" s="1"/>
  <c r="U29" i="3" s="1"/>
  <c r="P29" i="3"/>
  <c r="Q29" i="3" s="1"/>
  <c r="R29" i="3" s="1"/>
  <c r="V30" i="3"/>
  <c r="S30" i="3"/>
  <c r="T30" i="3" s="1"/>
  <c r="U30" i="3" s="1"/>
  <c r="P30" i="3"/>
  <c r="Q30" i="3" s="1"/>
  <c r="R30" i="3" s="1"/>
  <c r="V13" i="3"/>
  <c r="S13" i="3"/>
  <c r="T13" i="3" s="1"/>
  <c r="U13" i="3" s="1"/>
  <c r="P13" i="3"/>
  <c r="Q13" i="3" s="1"/>
  <c r="R13" i="3" s="1"/>
  <c r="V68" i="3"/>
  <c r="S68" i="3"/>
  <c r="T68" i="3" s="1"/>
  <c r="U68" i="3" s="1"/>
  <c r="P68" i="3"/>
  <c r="Q68" i="3" s="1"/>
  <c r="R68" i="3" s="1"/>
  <c r="V69" i="3"/>
  <c r="S69" i="3"/>
  <c r="T69" i="3" s="1"/>
  <c r="U69" i="3" s="1"/>
  <c r="P69" i="3"/>
  <c r="Q69" i="3" s="1"/>
  <c r="R69" i="3" s="1"/>
  <c r="V56" i="3"/>
  <c r="S56" i="3"/>
  <c r="T56" i="3" s="1"/>
  <c r="U56" i="3" s="1"/>
  <c r="P56" i="3"/>
  <c r="Q56" i="3" s="1"/>
  <c r="R56" i="3" s="1"/>
  <c r="V154" i="3"/>
  <c r="S154" i="3"/>
  <c r="T154" i="3" s="1"/>
  <c r="U154" i="3" s="1"/>
  <c r="P154" i="3"/>
  <c r="Q154" i="3" s="1"/>
  <c r="R154" i="3" s="1"/>
  <c r="V72" i="3"/>
  <c r="S72" i="3"/>
  <c r="T72" i="3" s="1"/>
  <c r="U72" i="3" s="1"/>
  <c r="P72" i="3"/>
  <c r="Q72" i="3" s="1"/>
  <c r="R72" i="3" s="1"/>
  <c r="V71" i="3"/>
  <c r="S71" i="3"/>
  <c r="T71" i="3" s="1"/>
  <c r="U71" i="3" s="1"/>
  <c r="P71" i="3"/>
  <c r="Q71" i="3" s="1"/>
  <c r="R71" i="3" s="1"/>
  <c r="V14" i="3"/>
  <c r="S14" i="3"/>
  <c r="T14" i="3" s="1"/>
  <c r="U14" i="3" s="1"/>
  <c r="P14" i="3"/>
  <c r="Q14" i="3" s="1"/>
  <c r="R14" i="3" s="1"/>
  <c r="V54" i="3"/>
  <c r="S54" i="3"/>
  <c r="T54" i="3" s="1"/>
  <c r="U54" i="3" s="1"/>
  <c r="P54" i="3"/>
  <c r="Q54" i="3" s="1"/>
  <c r="R54" i="3" s="1"/>
  <c r="V53" i="3"/>
  <c r="S53" i="3"/>
  <c r="T53" i="3" s="1"/>
  <c r="U53" i="3" s="1"/>
  <c r="P53" i="3"/>
  <c r="Q53" i="3" s="1"/>
  <c r="R53" i="3" s="1"/>
  <c r="V177" i="3"/>
  <c r="S177" i="3"/>
  <c r="T177" i="3" s="1"/>
  <c r="U177" i="3" s="1"/>
  <c r="P177" i="3"/>
  <c r="Q177" i="3" s="1"/>
  <c r="R177" i="3" s="1"/>
  <c r="V103" i="3"/>
  <c r="S103" i="3"/>
  <c r="T103" i="3" s="1"/>
  <c r="U103" i="3" s="1"/>
  <c r="P103" i="3"/>
  <c r="Q103" i="3" s="1"/>
  <c r="R103" i="3" s="1"/>
  <c r="V98" i="3"/>
  <c r="S98" i="3"/>
  <c r="T98" i="3" s="1"/>
  <c r="U98" i="3" s="1"/>
  <c r="P98" i="3"/>
  <c r="Q98" i="3" s="1"/>
  <c r="R98" i="3" s="1"/>
  <c r="V97" i="3"/>
  <c r="S97" i="3"/>
  <c r="T97" i="3" s="1"/>
  <c r="U97" i="3" s="1"/>
  <c r="P97" i="3"/>
  <c r="Q97" i="3" s="1"/>
  <c r="R97" i="3" s="1"/>
  <c r="V96" i="3"/>
  <c r="S96" i="3"/>
  <c r="T96" i="3" s="1"/>
  <c r="U96" i="3" s="1"/>
  <c r="P96" i="3"/>
  <c r="Q96" i="3" s="1"/>
  <c r="R96" i="3" s="1"/>
  <c r="V101" i="3"/>
  <c r="S101" i="3"/>
  <c r="T101" i="3" s="1"/>
  <c r="U101" i="3" s="1"/>
  <c r="P101" i="3"/>
  <c r="Q101" i="3" s="1"/>
  <c r="R101" i="3" s="1"/>
  <c r="V182" i="3"/>
  <c r="S182" i="3"/>
  <c r="T182" i="3" s="1"/>
  <c r="U182" i="3" s="1"/>
  <c r="P182" i="3"/>
  <c r="Q182" i="3" s="1"/>
  <c r="R182" i="3" s="1"/>
  <c r="V183" i="3"/>
  <c r="S183" i="3"/>
  <c r="T183" i="3" s="1"/>
  <c r="U183" i="3" s="1"/>
  <c r="P183" i="3"/>
  <c r="Q183" i="3" s="1"/>
  <c r="R183" i="3" s="1"/>
  <c r="V179" i="3"/>
  <c r="S179" i="3"/>
  <c r="T179" i="3" s="1"/>
  <c r="U179" i="3" s="1"/>
  <c r="P179" i="3"/>
  <c r="Q179" i="3" s="1"/>
  <c r="R179" i="3" s="1"/>
  <c r="V184" i="3"/>
  <c r="S184" i="3"/>
  <c r="T184" i="3" s="1"/>
  <c r="U184" i="3" s="1"/>
  <c r="P184" i="3"/>
  <c r="Q184" i="3" s="1"/>
  <c r="R184" i="3" s="1"/>
  <c r="V185" i="3"/>
  <c r="S185" i="3"/>
  <c r="T185" i="3" s="1"/>
  <c r="U185" i="3" s="1"/>
  <c r="P185" i="3"/>
  <c r="Q185" i="3" s="1"/>
  <c r="R185" i="3" s="1"/>
  <c r="V180" i="3"/>
  <c r="S180" i="3"/>
  <c r="T180" i="3" s="1"/>
  <c r="U180" i="3" s="1"/>
  <c r="P180" i="3"/>
  <c r="Q180" i="3" s="1"/>
  <c r="R180" i="3" s="1"/>
  <c r="V181" i="3"/>
  <c r="S181" i="3"/>
  <c r="T181" i="3" s="1"/>
  <c r="U181" i="3" s="1"/>
  <c r="P181" i="3"/>
  <c r="Q181" i="3" s="1"/>
  <c r="R181" i="3" s="1"/>
  <c r="K181" i="2"/>
  <c r="J181" i="2"/>
  <c r="I181" i="2"/>
  <c r="H181" i="2"/>
  <c r="G181" i="2"/>
  <c r="K180" i="2"/>
  <c r="J180" i="2"/>
  <c r="H180" i="2" s="1"/>
  <c r="I180" i="2"/>
  <c r="G180" i="2"/>
  <c r="K179" i="2"/>
  <c r="J179" i="2"/>
  <c r="H179" i="2" s="1"/>
  <c r="I179" i="2"/>
  <c r="G179" i="2"/>
  <c r="K178" i="2"/>
  <c r="J178" i="2"/>
  <c r="I178" i="2"/>
  <c r="G178" i="2" s="1"/>
  <c r="H178" i="2"/>
  <c r="K177" i="2"/>
  <c r="J177" i="2"/>
  <c r="I177" i="2"/>
  <c r="G177" i="2" s="1"/>
  <c r="H177" i="2"/>
  <c r="K176" i="2"/>
  <c r="J176" i="2"/>
  <c r="I176" i="2"/>
  <c r="H176" i="2"/>
  <c r="G176" i="2"/>
  <c r="K175" i="2"/>
  <c r="J175" i="2"/>
  <c r="H175" i="2" s="1"/>
  <c r="I175" i="2"/>
  <c r="G175" i="2" s="1"/>
  <c r="K174" i="2"/>
  <c r="J174" i="2"/>
  <c r="I174" i="2"/>
  <c r="H174" i="2"/>
  <c r="G174" i="2"/>
  <c r="K173" i="2"/>
  <c r="J173" i="2"/>
  <c r="I173" i="2"/>
  <c r="G173" i="2" s="1"/>
  <c r="H173" i="2"/>
  <c r="K172" i="2"/>
  <c r="J172" i="2"/>
  <c r="H172" i="2" s="1"/>
  <c r="I172" i="2"/>
  <c r="G172" i="2" s="1"/>
  <c r="K171" i="2"/>
  <c r="J171" i="2"/>
  <c r="H171" i="2" s="1"/>
  <c r="I171" i="2"/>
  <c r="G171" i="2"/>
  <c r="K170" i="2"/>
  <c r="J170" i="2"/>
  <c r="H170" i="2" s="1"/>
  <c r="I170" i="2"/>
  <c r="G170" i="2" s="1"/>
  <c r="K169" i="2"/>
  <c r="J169" i="2"/>
  <c r="I169" i="2"/>
  <c r="G169" i="2" s="1"/>
  <c r="H169" i="2"/>
  <c r="K168" i="2"/>
  <c r="J168" i="2"/>
  <c r="I168" i="2"/>
  <c r="H168" i="2"/>
  <c r="G168" i="2"/>
  <c r="K167" i="2"/>
  <c r="J167" i="2"/>
  <c r="H167" i="2" s="1"/>
  <c r="I167" i="2"/>
  <c r="G167" i="2"/>
  <c r="K166" i="2"/>
  <c r="J166" i="2"/>
  <c r="H166" i="2" s="1"/>
  <c r="I166" i="2"/>
  <c r="G166" i="2"/>
  <c r="K165" i="2"/>
  <c r="J165" i="2"/>
  <c r="H165" i="2" s="1"/>
  <c r="I165" i="2"/>
  <c r="G165" i="2" s="1"/>
  <c r="K164" i="2"/>
  <c r="J164" i="2"/>
  <c r="I164" i="2"/>
  <c r="G164" i="2" s="1"/>
  <c r="H164" i="2"/>
  <c r="K163" i="2"/>
  <c r="J163" i="2"/>
  <c r="I163" i="2"/>
  <c r="H163" i="2"/>
  <c r="G163" i="2"/>
  <c r="K162" i="2"/>
  <c r="J162" i="2"/>
  <c r="I162" i="2"/>
  <c r="H162" i="2"/>
  <c r="G162" i="2"/>
  <c r="K161" i="2"/>
  <c r="J161" i="2"/>
  <c r="H161" i="2" s="1"/>
  <c r="I161" i="2"/>
  <c r="G161" i="2"/>
  <c r="K160" i="2"/>
  <c r="J160" i="2"/>
  <c r="H160" i="2" s="1"/>
  <c r="I160" i="2"/>
  <c r="G160" i="2" s="1"/>
  <c r="K159" i="2"/>
  <c r="J159" i="2"/>
  <c r="I159" i="2"/>
  <c r="H159" i="2"/>
  <c r="G159" i="2"/>
  <c r="K158" i="2"/>
  <c r="J158" i="2"/>
  <c r="I158" i="2"/>
  <c r="H158" i="2"/>
  <c r="G158" i="2"/>
  <c r="K157" i="2"/>
  <c r="J157" i="2"/>
  <c r="I157" i="2"/>
  <c r="H157" i="2"/>
  <c r="G157" i="2"/>
  <c r="K156" i="2"/>
  <c r="J156" i="2"/>
  <c r="H156" i="2" s="1"/>
  <c r="I156" i="2"/>
  <c r="G156" i="2" s="1"/>
  <c r="K155" i="2"/>
  <c r="J155" i="2"/>
  <c r="H155" i="2" s="1"/>
  <c r="I155" i="2"/>
  <c r="G155" i="2"/>
  <c r="K154" i="2"/>
  <c r="J154" i="2"/>
  <c r="I154" i="2"/>
  <c r="H154" i="2"/>
  <c r="G154" i="2"/>
  <c r="K153" i="2"/>
  <c r="J153" i="2"/>
  <c r="I153" i="2"/>
  <c r="G153" i="2" s="1"/>
  <c r="H153" i="2"/>
  <c r="K152" i="2"/>
  <c r="J152" i="2"/>
  <c r="H152" i="2" s="1"/>
  <c r="I152" i="2"/>
  <c r="G152" i="2" s="1"/>
  <c r="K151" i="2"/>
  <c r="J151" i="2"/>
  <c r="H151" i="2" s="1"/>
  <c r="I151" i="2"/>
  <c r="G151" i="2" s="1"/>
  <c r="K150" i="2"/>
  <c r="J150" i="2"/>
  <c r="I150" i="2"/>
  <c r="H150" i="2"/>
  <c r="G150" i="2"/>
  <c r="K149" i="2"/>
  <c r="J149" i="2"/>
  <c r="I149" i="2"/>
  <c r="H149" i="2"/>
  <c r="G149" i="2"/>
  <c r="K148" i="2"/>
  <c r="J148" i="2"/>
  <c r="H148" i="2" s="1"/>
  <c r="I148" i="2"/>
  <c r="G148" i="2" s="1"/>
  <c r="K147" i="2"/>
  <c r="J147" i="2"/>
  <c r="I147" i="2"/>
  <c r="G147" i="2" s="1"/>
  <c r="H147" i="2"/>
  <c r="K146" i="2"/>
  <c r="J146" i="2"/>
  <c r="I146" i="2"/>
  <c r="G146" i="2" s="1"/>
  <c r="H146" i="2"/>
  <c r="K145" i="2"/>
  <c r="J145" i="2"/>
  <c r="I145" i="2"/>
  <c r="H145" i="2"/>
  <c r="G145" i="2"/>
  <c r="K144" i="2"/>
  <c r="J144" i="2"/>
  <c r="I144" i="2"/>
  <c r="H144" i="2"/>
  <c r="G144" i="2"/>
  <c r="K143" i="2"/>
  <c r="J143" i="2"/>
  <c r="H143" i="2" s="1"/>
  <c r="I143" i="2"/>
  <c r="G143" i="2"/>
  <c r="K142" i="2"/>
  <c r="J142" i="2"/>
  <c r="I142" i="2"/>
  <c r="G142" i="2" s="1"/>
  <c r="H142" i="2"/>
  <c r="K141" i="2"/>
  <c r="J141" i="2"/>
  <c r="I141" i="2"/>
  <c r="G141" i="2" s="1"/>
  <c r="H141" i="2"/>
  <c r="K140" i="2"/>
  <c r="J140" i="2"/>
  <c r="I140" i="2"/>
  <c r="H140" i="2"/>
  <c r="G140" i="2"/>
  <c r="K139" i="2"/>
  <c r="J139" i="2"/>
  <c r="H139" i="2" s="1"/>
  <c r="I139" i="2"/>
  <c r="G139" i="2"/>
  <c r="K138" i="2"/>
  <c r="J138" i="2"/>
  <c r="I138" i="2"/>
  <c r="H138" i="2"/>
  <c r="G138" i="2"/>
  <c r="K137" i="2"/>
  <c r="J137" i="2"/>
  <c r="I137" i="2"/>
  <c r="G137" i="2" s="1"/>
  <c r="H137" i="2"/>
  <c r="K136" i="2"/>
  <c r="J136" i="2"/>
  <c r="H136" i="2" s="1"/>
  <c r="I136" i="2"/>
  <c r="G136" i="2" s="1"/>
  <c r="K135" i="2"/>
  <c r="J135" i="2"/>
  <c r="H135" i="2" s="1"/>
  <c r="I135" i="2"/>
  <c r="G135" i="2"/>
  <c r="K134" i="2"/>
  <c r="J134" i="2"/>
  <c r="H134" i="2" s="1"/>
  <c r="I134" i="2"/>
  <c r="G134" i="2" s="1"/>
  <c r="K133" i="2"/>
  <c r="J133" i="2"/>
  <c r="I133" i="2"/>
  <c r="G133" i="2" s="1"/>
  <c r="H133" i="2"/>
  <c r="K132" i="2"/>
  <c r="J132" i="2"/>
  <c r="I132" i="2"/>
  <c r="H132" i="2"/>
  <c r="G132" i="2"/>
  <c r="K131" i="2"/>
  <c r="J131" i="2"/>
  <c r="H131" i="2" s="1"/>
  <c r="I131" i="2"/>
  <c r="G131" i="2"/>
  <c r="K130" i="2"/>
  <c r="J130" i="2"/>
  <c r="H130" i="2" s="1"/>
  <c r="I130" i="2"/>
  <c r="G130" i="2"/>
  <c r="K129" i="2"/>
  <c r="J129" i="2"/>
  <c r="H129" i="2" s="1"/>
  <c r="I129" i="2"/>
  <c r="G129" i="2" s="1"/>
  <c r="K128" i="2"/>
  <c r="J128" i="2"/>
  <c r="I128" i="2"/>
  <c r="G128" i="2" s="1"/>
  <c r="H128" i="2"/>
  <c r="K127" i="2"/>
  <c r="J127" i="2"/>
  <c r="I127" i="2"/>
  <c r="H127" i="2"/>
  <c r="G127" i="2"/>
  <c r="K126" i="2"/>
  <c r="J126" i="2"/>
  <c r="I126" i="2"/>
  <c r="H126" i="2"/>
  <c r="G126" i="2"/>
  <c r="K125" i="2"/>
  <c r="J125" i="2"/>
  <c r="H125" i="2" s="1"/>
  <c r="I125" i="2"/>
  <c r="G125" i="2"/>
  <c r="K124" i="2"/>
  <c r="J124" i="2"/>
  <c r="H124" i="2" s="1"/>
  <c r="I124" i="2"/>
  <c r="G124" i="2" s="1"/>
  <c r="K123" i="2"/>
  <c r="J123" i="2"/>
  <c r="I123" i="2"/>
  <c r="H123" i="2"/>
  <c r="G123" i="2"/>
  <c r="K122" i="2"/>
  <c r="J122" i="2"/>
  <c r="H122" i="2" s="1"/>
  <c r="I122" i="2"/>
  <c r="G122" i="2"/>
  <c r="K121" i="2"/>
  <c r="J121" i="2"/>
  <c r="I121" i="2"/>
  <c r="H121" i="2"/>
  <c r="G121" i="2"/>
  <c r="K120" i="2"/>
  <c r="J120" i="2"/>
  <c r="H120" i="2" s="1"/>
  <c r="I120" i="2"/>
  <c r="G120" i="2" s="1"/>
  <c r="K119" i="2"/>
  <c r="J119" i="2"/>
  <c r="H119" i="2" s="1"/>
  <c r="I119" i="2"/>
  <c r="G119" i="2"/>
  <c r="K118" i="2"/>
  <c r="J118" i="2"/>
  <c r="I118" i="2"/>
  <c r="H118" i="2"/>
  <c r="G118" i="2"/>
  <c r="K117" i="2"/>
  <c r="J117" i="2"/>
  <c r="H117" i="2" s="1"/>
  <c r="I117" i="2"/>
  <c r="G117" i="2" s="1"/>
  <c r="K116" i="2"/>
  <c r="J116" i="2"/>
  <c r="H116" i="2" s="1"/>
  <c r="I116" i="2"/>
  <c r="G116" i="2" s="1"/>
  <c r="K115" i="2"/>
  <c r="J115" i="2"/>
  <c r="H115" i="2" s="1"/>
  <c r="I115" i="2"/>
  <c r="G115" i="2" s="1"/>
  <c r="K114" i="2"/>
  <c r="J114" i="2"/>
  <c r="I114" i="2"/>
  <c r="H114" i="2"/>
  <c r="G114" i="2"/>
  <c r="K113" i="2"/>
  <c r="J113" i="2"/>
  <c r="I113" i="2"/>
  <c r="H113" i="2"/>
  <c r="G113" i="2"/>
  <c r="K112" i="2"/>
  <c r="J112" i="2"/>
  <c r="H112" i="2" s="1"/>
  <c r="I112" i="2"/>
  <c r="G112" i="2" s="1"/>
  <c r="K111" i="2"/>
  <c r="J111" i="2"/>
  <c r="I111" i="2"/>
  <c r="G111" i="2" s="1"/>
  <c r="H111" i="2"/>
  <c r="K110" i="2"/>
  <c r="J110" i="2"/>
  <c r="I110" i="2"/>
  <c r="G110" i="2" s="1"/>
  <c r="H110" i="2"/>
  <c r="K109" i="2"/>
  <c r="J109" i="2"/>
  <c r="I109" i="2"/>
  <c r="H109" i="2"/>
  <c r="G109" i="2"/>
  <c r="K108" i="2"/>
  <c r="J108" i="2"/>
  <c r="I108" i="2"/>
  <c r="H108" i="2"/>
  <c r="G108" i="2"/>
  <c r="K107" i="2"/>
  <c r="J107" i="2"/>
  <c r="H107" i="2" s="1"/>
  <c r="I107" i="2"/>
  <c r="G107" i="2"/>
  <c r="K106" i="2"/>
  <c r="J106" i="2"/>
  <c r="I106" i="2"/>
  <c r="G106" i="2" s="1"/>
  <c r="H106" i="2"/>
  <c r="K105" i="2"/>
  <c r="J105" i="2"/>
  <c r="I105" i="2"/>
  <c r="G105" i="2" s="1"/>
  <c r="H105" i="2"/>
  <c r="K104" i="2"/>
  <c r="J104" i="2"/>
  <c r="I104" i="2"/>
  <c r="H104" i="2"/>
  <c r="G104" i="2"/>
  <c r="K103" i="2"/>
  <c r="J103" i="2"/>
  <c r="H103" i="2" s="1"/>
  <c r="I103" i="2"/>
  <c r="G103" i="2"/>
  <c r="K102" i="2"/>
  <c r="J102" i="2"/>
  <c r="I102" i="2"/>
  <c r="H102" i="2"/>
  <c r="G102" i="2"/>
  <c r="K101" i="2"/>
  <c r="J101" i="2"/>
  <c r="I101" i="2"/>
  <c r="G101" i="2" s="1"/>
  <c r="H101" i="2"/>
  <c r="K100" i="2"/>
  <c r="J100" i="2"/>
  <c r="H100" i="2" s="1"/>
  <c r="I100" i="2"/>
  <c r="G100" i="2" s="1"/>
  <c r="K99" i="2"/>
  <c r="J99" i="2"/>
  <c r="H99" i="2" s="1"/>
  <c r="I99" i="2"/>
  <c r="G99" i="2"/>
  <c r="K98" i="2"/>
  <c r="J98" i="2"/>
  <c r="H98" i="2" s="1"/>
  <c r="I98" i="2"/>
  <c r="G98" i="2" s="1"/>
  <c r="K97" i="2"/>
  <c r="J97" i="2"/>
  <c r="I97" i="2"/>
  <c r="G97" i="2" s="1"/>
  <c r="H97" i="2"/>
  <c r="K96" i="2"/>
  <c r="J96" i="2"/>
  <c r="I96" i="2"/>
  <c r="H96" i="2"/>
  <c r="G96" i="2"/>
  <c r="K95" i="2"/>
  <c r="J95" i="2"/>
  <c r="H95" i="2" s="1"/>
  <c r="I95" i="2"/>
  <c r="G95" i="2"/>
  <c r="K94" i="2"/>
  <c r="J94" i="2"/>
  <c r="H94" i="2" s="1"/>
  <c r="I94" i="2"/>
  <c r="G94" i="2" s="1"/>
  <c r="K93" i="2"/>
  <c r="J93" i="2"/>
  <c r="H93" i="2" s="1"/>
  <c r="I93" i="2"/>
  <c r="G93" i="2" s="1"/>
  <c r="K92" i="2"/>
  <c r="J92" i="2"/>
  <c r="I92" i="2"/>
  <c r="G92" i="2" s="1"/>
  <c r="H92" i="2"/>
  <c r="K91" i="2"/>
  <c r="J91" i="2"/>
  <c r="I91" i="2"/>
  <c r="H91" i="2"/>
  <c r="G91" i="2"/>
  <c r="K90" i="2"/>
  <c r="J90" i="2"/>
  <c r="I90" i="2"/>
  <c r="H90" i="2"/>
  <c r="G90" i="2"/>
  <c r="K89" i="2"/>
  <c r="J89" i="2"/>
  <c r="H89" i="2" s="1"/>
  <c r="I89" i="2"/>
  <c r="G89" i="2" s="1"/>
  <c r="K88" i="2"/>
  <c r="J88" i="2"/>
  <c r="H88" i="2" s="1"/>
  <c r="I88" i="2"/>
  <c r="G88" i="2" s="1"/>
  <c r="K87" i="2"/>
  <c r="J87" i="2"/>
  <c r="I87" i="2"/>
  <c r="H87" i="2"/>
  <c r="G87" i="2"/>
  <c r="K86" i="2"/>
  <c r="J86" i="2"/>
  <c r="H86" i="2" s="1"/>
  <c r="I86" i="2"/>
  <c r="G86" i="2"/>
  <c r="K85" i="2"/>
  <c r="J85" i="2"/>
  <c r="I85" i="2"/>
  <c r="H85" i="2"/>
  <c r="G85" i="2"/>
  <c r="K84" i="2"/>
  <c r="J84" i="2"/>
  <c r="H84" i="2" s="1"/>
  <c r="I84" i="2"/>
  <c r="G84" i="2" s="1"/>
  <c r="K83" i="2"/>
  <c r="J83" i="2"/>
  <c r="H83" i="2" s="1"/>
  <c r="I83" i="2"/>
  <c r="G83" i="2"/>
  <c r="K82" i="2"/>
  <c r="J82" i="2"/>
  <c r="I82" i="2"/>
  <c r="H82" i="2"/>
  <c r="G82" i="2"/>
  <c r="K81" i="2"/>
  <c r="J81" i="2"/>
  <c r="H81" i="2" s="1"/>
  <c r="I81" i="2"/>
  <c r="G81" i="2" s="1"/>
  <c r="K80" i="2"/>
  <c r="J80" i="2"/>
  <c r="H80" i="2" s="1"/>
  <c r="I80" i="2"/>
  <c r="G80" i="2" s="1"/>
  <c r="K79" i="2"/>
  <c r="J79" i="2"/>
  <c r="H79" i="2" s="1"/>
  <c r="I79" i="2"/>
  <c r="G79" i="2" s="1"/>
  <c r="K78" i="2"/>
  <c r="J78" i="2"/>
  <c r="I78" i="2"/>
  <c r="H78" i="2"/>
  <c r="G78" i="2"/>
  <c r="K77" i="2"/>
  <c r="J77" i="2"/>
  <c r="I77" i="2"/>
  <c r="H77" i="2"/>
  <c r="G77" i="2"/>
  <c r="K76" i="2"/>
  <c r="J76" i="2"/>
  <c r="H76" i="2" s="1"/>
  <c r="I76" i="2"/>
  <c r="G76" i="2" s="1"/>
  <c r="K75" i="2"/>
  <c r="J75" i="2"/>
  <c r="I75" i="2"/>
  <c r="G75" i="2" s="1"/>
  <c r="H75" i="2"/>
  <c r="K74" i="2"/>
  <c r="J74" i="2"/>
  <c r="I74" i="2"/>
  <c r="G74" i="2" s="1"/>
  <c r="H74" i="2"/>
  <c r="K73" i="2"/>
  <c r="J73" i="2"/>
  <c r="I73" i="2"/>
  <c r="H73" i="2"/>
  <c r="G73" i="2"/>
  <c r="K72" i="2"/>
  <c r="J72" i="2"/>
  <c r="I72" i="2"/>
  <c r="H72" i="2"/>
  <c r="G72" i="2"/>
  <c r="K71" i="2"/>
  <c r="J71" i="2"/>
  <c r="H71" i="2" s="1"/>
  <c r="I71" i="2"/>
  <c r="G71" i="2"/>
  <c r="K70" i="2"/>
  <c r="J70" i="2"/>
  <c r="I70" i="2"/>
  <c r="G70" i="2" s="1"/>
  <c r="H70" i="2"/>
  <c r="K69" i="2"/>
  <c r="J69" i="2"/>
  <c r="I69" i="2"/>
  <c r="G69" i="2" s="1"/>
  <c r="H69" i="2"/>
  <c r="K68" i="2"/>
  <c r="J68" i="2"/>
  <c r="H68" i="2" s="1"/>
  <c r="I68" i="2"/>
  <c r="G68" i="2"/>
  <c r="K67" i="2"/>
  <c r="J67" i="2"/>
  <c r="H67" i="2" s="1"/>
  <c r="I67" i="2"/>
  <c r="G67" i="2"/>
  <c r="K66" i="2"/>
  <c r="J66" i="2"/>
  <c r="I66" i="2"/>
  <c r="H66" i="2"/>
  <c r="G66" i="2"/>
  <c r="K65" i="2"/>
  <c r="J65" i="2"/>
  <c r="I65" i="2"/>
  <c r="G65" i="2" s="1"/>
  <c r="H65" i="2"/>
  <c r="K64" i="2"/>
  <c r="J64" i="2"/>
  <c r="H64" i="2" s="1"/>
  <c r="I64" i="2"/>
  <c r="G64" i="2" s="1"/>
  <c r="K63" i="2"/>
  <c r="J63" i="2"/>
  <c r="H63" i="2" s="1"/>
  <c r="I63" i="2"/>
  <c r="G63" i="2" s="1"/>
  <c r="K62" i="2"/>
  <c r="J62" i="2"/>
  <c r="H62" i="2" s="1"/>
  <c r="I62" i="2"/>
  <c r="G62" i="2" s="1"/>
  <c r="K61" i="2"/>
  <c r="J61" i="2"/>
  <c r="I61" i="2"/>
  <c r="G61" i="2" s="1"/>
  <c r="H61" i="2"/>
  <c r="K60" i="2"/>
  <c r="J60" i="2"/>
  <c r="I60" i="2"/>
  <c r="H60" i="2"/>
  <c r="G60" i="2"/>
  <c r="K59" i="2"/>
  <c r="J59" i="2"/>
  <c r="H59" i="2" s="1"/>
  <c r="I59" i="2"/>
  <c r="G59" i="2"/>
  <c r="K58" i="2"/>
  <c r="J58" i="2"/>
  <c r="H58" i="2" s="1"/>
  <c r="I58" i="2"/>
  <c r="G58" i="2" s="1"/>
  <c r="K57" i="2"/>
  <c r="J57" i="2"/>
  <c r="H57" i="2" s="1"/>
  <c r="I57" i="2"/>
  <c r="G57" i="2" s="1"/>
  <c r="K56" i="2"/>
  <c r="J56" i="2"/>
  <c r="I56" i="2"/>
  <c r="G56" i="2" s="1"/>
  <c r="H56" i="2"/>
  <c r="K55" i="2"/>
  <c r="J55" i="2"/>
  <c r="I55" i="2"/>
  <c r="H55" i="2"/>
  <c r="G55" i="2"/>
  <c r="K54" i="2"/>
  <c r="J54" i="2"/>
  <c r="I54" i="2"/>
  <c r="H54" i="2"/>
  <c r="G54" i="2"/>
  <c r="K53" i="2"/>
  <c r="J53" i="2"/>
  <c r="H53" i="2" s="1"/>
  <c r="I53" i="2"/>
  <c r="G53" i="2" s="1"/>
  <c r="K52" i="2"/>
  <c r="J52" i="2"/>
  <c r="H52" i="2" s="1"/>
  <c r="I52" i="2"/>
  <c r="G52" i="2" s="1"/>
  <c r="K51" i="2"/>
  <c r="J51" i="2"/>
  <c r="I51" i="2"/>
  <c r="H51" i="2"/>
  <c r="G51" i="2"/>
  <c r="K50" i="2"/>
  <c r="J50" i="2"/>
  <c r="H50" i="2" s="1"/>
  <c r="I50" i="2"/>
  <c r="G50" i="2"/>
  <c r="K49" i="2"/>
  <c r="J49" i="2"/>
  <c r="I49" i="2"/>
  <c r="H49" i="2"/>
  <c r="G49" i="2"/>
  <c r="K48" i="2"/>
  <c r="J48" i="2"/>
  <c r="H48" i="2" s="1"/>
  <c r="I48" i="2"/>
  <c r="G48" i="2" s="1"/>
  <c r="K47" i="2"/>
  <c r="J47" i="2"/>
  <c r="H47" i="2" s="1"/>
  <c r="I47" i="2"/>
  <c r="G47" i="2"/>
  <c r="K46" i="2"/>
  <c r="J46" i="2"/>
  <c r="I46" i="2"/>
  <c r="H46" i="2"/>
  <c r="G46" i="2"/>
  <c r="K45" i="2"/>
  <c r="J45" i="2"/>
  <c r="H45" i="2" s="1"/>
  <c r="I45" i="2"/>
  <c r="G45" i="2" s="1"/>
  <c r="K44" i="2"/>
  <c r="J44" i="2"/>
  <c r="H44" i="2" s="1"/>
  <c r="I44" i="2"/>
  <c r="G44" i="2" s="1"/>
  <c r="K43" i="2"/>
  <c r="J43" i="2"/>
  <c r="H43" i="2" s="1"/>
  <c r="I43" i="2"/>
  <c r="G43" i="2" s="1"/>
  <c r="K42" i="2"/>
  <c r="J42" i="2"/>
  <c r="I42" i="2"/>
  <c r="H42" i="2"/>
  <c r="G42" i="2"/>
  <c r="K41" i="2"/>
  <c r="J41" i="2"/>
  <c r="I41" i="2"/>
  <c r="H41" i="2"/>
  <c r="G41" i="2"/>
  <c r="K40" i="2"/>
  <c r="J40" i="2"/>
  <c r="H40" i="2" s="1"/>
  <c r="I40" i="2"/>
  <c r="G40" i="2" s="1"/>
  <c r="K39" i="2"/>
  <c r="J39" i="2"/>
  <c r="I39" i="2"/>
  <c r="G39" i="2" s="1"/>
  <c r="H39" i="2"/>
  <c r="K38" i="2"/>
  <c r="J38" i="2"/>
  <c r="I38" i="2"/>
  <c r="G38" i="2" s="1"/>
  <c r="H38" i="2"/>
  <c r="K37" i="2"/>
  <c r="J37" i="2"/>
  <c r="I37" i="2"/>
  <c r="H37" i="2"/>
  <c r="G37" i="2"/>
  <c r="K36" i="2"/>
  <c r="J36" i="2"/>
  <c r="I36" i="2"/>
  <c r="H36" i="2"/>
  <c r="G36" i="2"/>
  <c r="K35" i="2"/>
  <c r="J35" i="2"/>
  <c r="H35" i="2" s="1"/>
  <c r="I35" i="2"/>
  <c r="G35" i="2"/>
  <c r="K34" i="2"/>
  <c r="J34" i="2"/>
  <c r="I34" i="2"/>
  <c r="G34" i="2" s="1"/>
  <c r="H34" i="2"/>
  <c r="K33" i="2"/>
  <c r="J33" i="2"/>
  <c r="I33" i="2"/>
  <c r="G33" i="2" s="1"/>
  <c r="H33" i="2"/>
  <c r="K32" i="2"/>
  <c r="J32" i="2"/>
  <c r="I32" i="2"/>
  <c r="H32" i="2"/>
  <c r="G32" i="2"/>
  <c r="K31" i="2"/>
  <c r="J31" i="2"/>
  <c r="I31" i="2"/>
  <c r="H31" i="2"/>
  <c r="G31" i="2"/>
  <c r="K30" i="2"/>
  <c r="J30" i="2"/>
  <c r="H30" i="2" s="1"/>
  <c r="I30" i="2"/>
  <c r="G30" i="2" s="1"/>
  <c r="K29" i="2"/>
  <c r="J29" i="2"/>
  <c r="H29" i="2" s="1"/>
  <c r="I29" i="2"/>
  <c r="G29" i="2" s="1"/>
  <c r="K28" i="2"/>
  <c r="J28" i="2"/>
  <c r="H28" i="2" s="1"/>
  <c r="I28" i="2"/>
  <c r="G28" i="2" s="1"/>
  <c r="K27" i="2"/>
  <c r="J27" i="2"/>
  <c r="I27" i="2"/>
  <c r="H27" i="2"/>
  <c r="G27" i="2"/>
  <c r="K26" i="2"/>
  <c r="J26" i="2"/>
  <c r="I26" i="2"/>
  <c r="H26" i="2"/>
  <c r="G26" i="2"/>
  <c r="K25" i="2"/>
  <c r="J25" i="2"/>
  <c r="H25" i="2" s="1"/>
  <c r="I25" i="2"/>
  <c r="G25" i="2"/>
  <c r="K24" i="2"/>
  <c r="J24" i="2"/>
  <c r="H24" i="2" s="1"/>
  <c r="I24" i="2"/>
  <c r="G24" i="2"/>
  <c r="K23" i="2"/>
  <c r="J23" i="2"/>
  <c r="H23" i="2" s="1"/>
  <c r="I23" i="2"/>
  <c r="G23" i="2" s="1"/>
  <c r="K22" i="2"/>
  <c r="J22" i="2"/>
  <c r="I22" i="2"/>
  <c r="G22" i="2" s="1"/>
  <c r="H22" i="2"/>
  <c r="K21" i="2"/>
  <c r="J21" i="2"/>
  <c r="I21" i="2"/>
  <c r="G21" i="2" s="1"/>
  <c r="H21" i="2"/>
  <c r="K20" i="2"/>
  <c r="J20" i="2"/>
  <c r="I20" i="2"/>
  <c r="H20" i="2"/>
  <c r="G20" i="2"/>
  <c r="K19" i="2"/>
  <c r="J19" i="2"/>
  <c r="I19" i="2"/>
  <c r="H19" i="2"/>
  <c r="G19" i="2"/>
  <c r="K18" i="2"/>
  <c r="J18" i="2"/>
  <c r="H18" i="2" s="1"/>
  <c r="I18" i="2"/>
  <c r="G18" i="2" s="1"/>
  <c r="K17" i="2"/>
  <c r="J17" i="2"/>
  <c r="H17" i="2" s="1"/>
  <c r="I17" i="2"/>
  <c r="G17" i="2" s="1"/>
  <c r="K16" i="2"/>
  <c r="J16" i="2"/>
  <c r="H16" i="2" s="1"/>
  <c r="I16" i="2"/>
  <c r="G16" i="2" s="1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H12" i="2" s="1"/>
  <c r="I12" i="2"/>
  <c r="G12" i="2"/>
  <c r="K11" i="2"/>
  <c r="J11" i="2"/>
  <c r="H11" i="2" s="1"/>
  <c r="I11" i="2"/>
  <c r="G11" i="2" s="1"/>
  <c r="K10" i="2"/>
  <c r="J10" i="2"/>
  <c r="I10" i="2"/>
  <c r="G10" i="2" s="1"/>
  <c r="H10" i="2"/>
  <c r="K9" i="2"/>
  <c r="J9" i="2"/>
  <c r="I9" i="2"/>
  <c r="G9" i="2" s="1"/>
  <c r="H9" i="2"/>
  <c r="K8" i="2"/>
  <c r="J8" i="2"/>
  <c r="I8" i="2"/>
  <c r="H8" i="2"/>
  <c r="G8" i="2"/>
  <c r="K7" i="2"/>
  <c r="J7" i="2"/>
  <c r="I7" i="2"/>
  <c r="H7" i="2"/>
  <c r="G7" i="2"/>
  <c r="K6" i="2"/>
  <c r="J6" i="2"/>
  <c r="H6" i="2" s="1"/>
  <c r="I6" i="2"/>
  <c r="G6" i="2" s="1"/>
  <c r="K5" i="2"/>
  <c r="J5" i="2"/>
  <c r="H5" i="2" s="1"/>
  <c r="I5" i="2"/>
  <c r="G5" i="2" s="1"/>
  <c r="K4" i="2"/>
  <c r="J4" i="2"/>
  <c r="H4" i="2" s="1"/>
  <c r="I4" i="2"/>
  <c r="G4" i="2" s="1"/>
  <c r="K3" i="2"/>
  <c r="J3" i="2"/>
  <c r="I3" i="2"/>
  <c r="H3" i="2"/>
  <c r="G3" i="2"/>
  <c r="K2" i="2"/>
  <c r="J2" i="2"/>
  <c r="I2" i="2"/>
  <c r="H2" i="2"/>
  <c r="G2" i="2"/>
  <c r="A193" i="3" l="1"/>
  <c r="A76" i="3"/>
  <c r="A72" i="3"/>
  <c r="A148" i="3"/>
  <c r="A78" i="3"/>
  <c r="A95" i="3"/>
  <c r="A149" i="3"/>
  <c r="A82" i="3"/>
  <c r="A136" i="3"/>
  <c r="A52" i="3"/>
  <c r="A150" i="3"/>
  <c r="A67" i="3"/>
  <c r="A151" i="3"/>
  <c r="A178" i="3"/>
  <c r="A34" i="3"/>
  <c r="A186" i="3"/>
  <c r="A119" i="3"/>
  <c r="A55" i="3"/>
  <c r="A15" i="3"/>
  <c r="A132" i="3"/>
  <c r="A40" i="3"/>
  <c r="A45" i="3"/>
  <c r="A116" i="3"/>
  <c r="A85" i="3"/>
  <c r="A187" i="3"/>
  <c r="A25" i="3"/>
  <c r="A188" i="3"/>
  <c r="A153" i="3"/>
  <c r="A123" i="3"/>
  <c r="A41" i="3"/>
  <c r="A36" i="3"/>
  <c r="A49" i="3"/>
  <c r="A190" i="3"/>
  <c r="A160" i="3"/>
  <c r="A189" i="3"/>
  <c r="A46" i="3"/>
  <c r="A31" i="3"/>
  <c r="A44" i="3"/>
  <c r="A14" i="3"/>
  <c r="A20" i="3"/>
  <c r="A48" i="3"/>
  <c r="A39" i="3"/>
  <c r="A68" i="3"/>
  <c r="A35" i="3"/>
  <c r="A47" i="3"/>
  <c r="A71" i="3"/>
  <c r="A37" i="3"/>
  <c r="A86" i="3"/>
  <c r="A13" i="3"/>
  <c r="A87" i="3"/>
  <c r="A102" i="3"/>
  <c r="A70" i="3"/>
  <c r="A154" i="3"/>
  <c r="A191" i="3"/>
  <c r="A105" i="3"/>
  <c r="A16" i="3"/>
  <c r="A33" i="3"/>
  <c r="A113" i="3"/>
  <c r="A29" i="3"/>
  <c r="A181" i="3"/>
  <c r="A156" i="3"/>
  <c r="A120" i="3"/>
  <c r="A28" i="3"/>
  <c r="A10" i="3"/>
  <c r="A38" i="3"/>
  <c r="A112" i="3"/>
  <c r="A30" i="3"/>
  <c r="A126" i="3"/>
  <c r="A27" i="3"/>
  <c r="A182" i="3"/>
  <c r="A59" i="3"/>
  <c r="A125" i="3"/>
  <c r="A60" i="3"/>
  <c r="A100" i="3"/>
  <c r="A69" i="3"/>
  <c r="A155" i="3"/>
  <c r="A99" i="3"/>
  <c r="A56" i="3"/>
  <c r="A24" i="3"/>
  <c r="A32" i="3"/>
  <c r="A5" i="3"/>
  <c r="A42" i="3"/>
  <c r="A137" i="3"/>
  <c r="A54" i="3"/>
  <c r="A127" i="3"/>
  <c r="A167" i="3"/>
  <c r="A192" i="3"/>
  <c r="A118" i="3"/>
  <c r="A166" i="3"/>
  <c r="A43" i="3"/>
  <c r="A50" i="3"/>
  <c r="A183" i="3"/>
  <c r="A179" i="3"/>
  <c r="A92" i="3"/>
  <c r="A18" i="3"/>
  <c r="A180" i="3"/>
  <c r="A134" i="3"/>
  <c r="A3" i="3"/>
  <c r="A111" i="3"/>
  <c r="A143" i="3"/>
  <c r="A66" i="3"/>
  <c r="A106" i="3"/>
  <c r="A12" i="3"/>
  <c r="A62" i="3"/>
  <c r="A139" i="3"/>
  <c r="A177" i="3"/>
  <c r="A53" i="3"/>
  <c r="A103" i="3"/>
  <c r="A98" i="3"/>
  <c r="A97" i="3"/>
  <c r="A96" i="3"/>
  <c r="A101" i="3"/>
  <c r="A184" i="3"/>
  <c r="A185" i="3"/>
  <c r="A157" i="3"/>
  <c r="A104" i="3"/>
  <c r="A122" i="3"/>
  <c r="A2" i="3"/>
  <c r="A165" i="3"/>
  <c r="A129" i="3"/>
  <c r="A138" i="3"/>
  <c r="A81" i="3"/>
  <c r="A93" i="3"/>
  <c r="A172" i="3"/>
  <c r="A51" i="3"/>
  <c r="A158" i="3"/>
  <c r="A176" i="3"/>
  <c r="A89" i="3"/>
  <c r="A91" i="3"/>
  <c r="A17" i="3"/>
  <c r="A26" i="3"/>
  <c r="A58" i="3"/>
  <c r="A124" i="3"/>
  <c r="A131" i="3"/>
  <c r="A65" i="3"/>
  <c r="A159" i="3"/>
  <c r="A135" i="3"/>
  <c r="A80" i="3"/>
  <c r="A94" i="3"/>
  <c r="A168" i="3"/>
  <c r="A19" i="3"/>
  <c r="A175" i="3"/>
  <c r="A162" i="3"/>
  <c r="A108" i="3"/>
  <c r="A73" i="3"/>
  <c r="A144" i="3"/>
  <c r="A133" i="3"/>
  <c r="A161" i="3"/>
  <c r="A6" i="3"/>
  <c r="A9" i="3"/>
  <c r="A75" i="3"/>
  <c r="A88" i="3"/>
  <c r="A11" i="3"/>
  <c r="A23" i="3"/>
  <c r="A83" i="3"/>
  <c r="A169" i="3"/>
  <c r="A170" i="3"/>
  <c r="A90" i="3"/>
  <c r="A57" i="3"/>
  <c r="A171" i="3"/>
  <c r="A121" i="3"/>
  <c r="A110" i="3"/>
  <c r="A61" i="3"/>
  <c r="A145" i="3"/>
  <c r="A114" i="3"/>
  <c r="A174" i="3"/>
  <c r="A140" i="3"/>
  <c r="A109" i="3"/>
  <c r="A64" i="3"/>
  <c r="A128" i="3"/>
  <c r="A115" i="3"/>
  <c r="A117" i="3"/>
  <c r="A164" i="3"/>
  <c r="A84" i="3"/>
  <c r="A107" i="3"/>
  <c r="A63" i="3"/>
  <c r="A163" i="3"/>
  <c r="A79" i="3"/>
  <c r="A173" i="3"/>
  <c r="A77" i="3"/>
  <c r="A141" i="3"/>
  <c r="A8" i="3"/>
  <c r="A74" i="3"/>
  <c r="A147" i="3"/>
  <c r="A22" i="3"/>
  <c r="A4" i="3"/>
  <c r="A142" i="3"/>
  <c r="A7" i="3"/>
  <c r="A146" i="3"/>
  <c r="A130" i="3"/>
  <c r="A21" i="3"/>
  <c r="B10" i="4"/>
  <c r="B11" i="4"/>
  <c r="B13" i="4"/>
  <c r="B14" i="4"/>
  <c r="B5" i="4"/>
  <c r="B6" i="4"/>
  <c r="B7" i="4"/>
  <c r="B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<sst xmlns="http://schemas.openxmlformats.org/spreadsheetml/2006/main" count="2353" uniqueCount="517">
  <si>
    <t>Parámetro</t>
  </si>
  <si>
    <t>Valor</t>
  </si>
  <si>
    <t>Descripción</t>
  </si>
  <si>
    <t>PORC_DESC_CREDITO</t>
  </si>
  <si>
    <t>MESES_2_SEMANAS</t>
  </si>
  <si>
    <t>Semanas equivalentes a 2 meses</t>
  </si>
  <si>
    <t>MESES_3_SEMANAS</t>
  </si>
  <si>
    <t>Semanas equivalentes a 3 meses</t>
  </si>
  <si>
    <t>MIN_SEMANAL</t>
  </si>
  <si>
    <t>Pago mínimo semanal permitido</t>
  </si>
  <si>
    <t>REDONDEO_MULT</t>
  </si>
  <si>
    <t>Redondeo a múltiplos de (ej. 10 pesos)</t>
  </si>
  <si>
    <t>LIMITE_2_MESES</t>
  </si>
  <si>
    <t>Si precio crédito es menor a esto, NO aplica 2 meses</t>
  </si>
  <si>
    <t>LIMITE_3_MESES</t>
  </si>
  <si>
    <t>Si precio crédito es menor a esto, NO aplica 3 meses</t>
  </si>
  <si>
    <t>MAX_SEMANAS_LARGO</t>
  </si>
  <si>
    <t>Máximo de semanas para el abono semanal (largo plazo)</t>
  </si>
  <si>
    <t>Cocina</t>
  </si>
  <si>
    <t>Mobiliario</t>
  </si>
  <si>
    <t>Electrodomésticos</t>
  </si>
  <si>
    <t xml:space="preserve">Nombre del producto </t>
  </si>
  <si>
    <t xml:space="preserve">Marca  </t>
  </si>
  <si>
    <t>Categoria del producto</t>
  </si>
  <si>
    <t>Precio a credito</t>
  </si>
  <si>
    <t>Precio a contado</t>
  </si>
  <si>
    <t>Precio a 2 meses</t>
  </si>
  <si>
    <t>Precio a 3 meses</t>
  </si>
  <si>
    <t>PG semanal a 2 meses</t>
  </si>
  <si>
    <t>PG semanal a 3 meses</t>
  </si>
  <si>
    <t>Abono semanal</t>
  </si>
  <si>
    <t>Vaporera de aluminio 180cm</t>
  </si>
  <si>
    <t>El abuelo</t>
  </si>
  <si>
    <t>Vaporera de aluminio 120cm</t>
  </si>
  <si>
    <t xml:space="preserve">El abuelo </t>
  </si>
  <si>
    <t>Vaporera de aluminio 90cm pintado</t>
  </si>
  <si>
    <t>Vaporera de aluminio 70cm</t>
  </si>
  <si>
    <t xml:space="preserve">Vaporera de aluminio 100cm </t>
  </si>
  <si>
    <t xml:space="preserve">Lamex </t>
  </si>
  <si>
    <t>Vaporera de aluminio 45cm</t>
  </si>
  <si>
    <t>Vaporera de aluminio 34cm</t>
  </si>
  <si>
    <t>Juego de vaporera de 3pz de aluminio 34cm maya</t>
  </si>
  <si>
    <t xml:space="preserve">Juego básico 1 </t>
  </si>
  <si>
    <t>Juego básico 2</t>
  </si>
  <si>
    <t>Juego de budineras 3pz</t>
  </si>
  <si>
    <t>Juego Vallarta 3pz</t>
  </si>
  <si>
    <t>Tripleta gigante 3pz</t>
  </si>
  <si>
    <t xml:space="preserve">Timesa </t>
  </si>
  <si>
    <t xml:space="preserve">Budinera 55cm color </t>
  </si>
  <si>
    <t xml:space="preserve">Budinera 55cm triple fuerte color (TF) </t>
  </si>
  <si>
    <t>Arrocera tepiaca 3pz</t>
  </si>
  <si>
    <t xml:space="preserve">Maytesa </t>
  </si>
  <si>
    <t>Cazo pallero 45cm</t>
  </si>
  <si>
    <t xml:space="preserve">Cazo panal 55cm </t>
  </si>
  <si>
    <t xml:space="preserve">Sarten Yumbo triple fuerte 40cm (TF) </t>
  </si>
  <si>
    <t xml:space="preserve">Budinera triple fuerte 40cm (TF) </t>
  </si>
  <si>
    <t xml:space="preserve">Cazo 200cm triple fuerte (TF) </t>
  </si>
  <si>
    <t xml:space="preserve">Cazo 100cm </t>
  </si>
  <si>
    <t xml:space="preserve">Arrocera 70cm jumbo </t>
  </si>
  <si>
    <t>Batería córdoba 14pz</t>
  </si>
  <si>
    <t>Batería acayuqueña 9pz</t>
  </si>
  <si>
    <t>Batería Don beto 9pz</t>
  </si>
  <si>
    <t>Perico</t>
  </si>
  <si>
    <t>Batería Tapachula 10pz</t>
  </si>
  <si>
    <t xml:space="preserve">Batería oceánica 8pz triple fuerte (TF) </t>
  </si>
  <si>
    <t xml:space="preserve">Hércules </t>
  </si>
  <si>
    <t xml:space="preserve">Batería Sandra 8pz triple fuerte (TF) </t>
  </si>
  <si>
    <t xml:space="preserve">Batería Victoria 7pz triple fuerte (TF) </t>
  </si>
  <si>
    <t>Cazo 55cm</t>
  </si>
  <si>
    <t>Sarten Habana 3pz</t>
  </si>
  <si>
    <t xml:space="preserve">Cinsa </t>
  </si>
  <si>
    <t>Comaleta</t>
  </si>
  <si>
    <t>Cinsa</t>
  </si>
  <si>
    <t>Comal doble grill</t>
  </si>
  <si>
    <t xml:space="preserve">Comal texas grill (Lamex) </t>
  </si>
  <si>
    <t xml:space="preserve">Licuadora </t>
  </si>
  <si>
    <t>Osterizer</t>
  </si>
  <si>
    <t>RCA</t>
  </si>
  <si>
    <t xml:space="preserve">Batidora de mano con tazón 3L </t>
  </si>
  <si>
    <t xml:space="preserve">Plancha </t>
  </si>
  <si>
    <t xml:space="preserve">Batería de peltre chiapaneca 10pz </t>
  </si>
  <si>
    <t>Batería de peltre pontevedra 11pz</t>
  </si>
  <si>
    <t>Batería de peltre Tuxtla 12pz</t>
  </si>
  <si>
    <t xml:space="preserve">Batería de peltre duramax 13pz negro </t>
  </si>
  <si>
    <t>Juego de budineras Sonora 6pz</t>
  </si>
  <si>
    <t>Juego de ollas mexicana 9pz</t>
  </si>
  <si>
    <t xml:space="preserve">Batería de teflon tobago </t>
  </si>
  <si>
    <t xml:space="preserve">Batería de teflón Habana naranja </t>
  </si>
  <si>
    <t>Batería de teflón negro 19pz</t>
  </si>
  <si>
    <t>Eco</t>
  </si>
  <si>
    <t>Batería de peltre Esperanza verde 10pz</t>
  </si>
  <si>
    <t>Batería de peltre Fernanda verde 10pz</t>
  </si>
  <si>
    <t>Bandejas de peltre yaretzi 344044</t>
  </si>
  <si>
    <t>Batería románia 13pz</t>
  </si>
  <si>
    <t>Acero inoxidable</t>
  </si>
  <si>
    <t>Batería Italia 12pz</t>
  </si>
  <si>
    <t xml:space="preserve">Acero inoxidable </t>
  </si>
  <si>
    <t>Batería frankFurt</t>
  </si>
  <si>
    <t>Juego de vaporera Hanna 9pz</t>
  </si>
  <si>
    <t>Vaporera Hanna 16cm</t>
  </si>
  <si>
    <t xml:space="preserve">Vaporera Hanna 13cm </t>
  </si>
  <si>
    <t>Vaporera Hanna 11cm</t>
  </si>
  <si>
    <t>Batería Roma 6pz</t>
  </si>
  <si>
    <t>Arrocera Valencia 8pz</t>
  </si>
  <si>
    <t>Arrocera Velentina 6pz</t>
  </si>
  <si>
    <t xml:space="preserve">Batería Mercurio </t>
  </si>
  <si>
    <t>Budinera de teflón 40cm</t>
  </si>
  <si>
    <t>Ventilador de pedestal N°18</t>
  </si>
  <si>
    <t>ZFAN</t>
  </si>
  <si>
    <t xml:space="preserve">Electrodomésticos </t>
  </si>
  <si>
    <t>Ventilador de piso N°20</t>
  </si>
  <si>
    <t>MAN</t>
  </si>
  <si>
    <t>Navia</t>
  </si>
  <si>
    <t>Mesa 1.20cm</t>
  </si>
  <si>
    <t>Duna</t>
  </si>
  <si>
    <t>Plasticos</t>
  </si>
  <si>
    <t>Mesa 1.80cm</t>
  </si>
  <si>
    <t>Mesa 2.40cm</t>
  </si>
  <si>
    <t>Silla Aruba Gris</t>
  </si>
  <si>
    <t xml:space="preserve">Silla Aruba blanca </t>
  </si>
  <si>
    <t xml:space="preserve">Duna </t>
  </si>
  <si>
    <t xml:space="preserve">Silla Brexia color </t>
  </si>
  <si>
    <t xml:space="preserve">Mesa cuadra </t>
  </si>
  <si>
    <t xml:space="preserve">4 Sillas Aruba gris </t>
  </si>
  <si>
    <t>4 Sillas Aruba blanca</t>
  </si>
  <si>
    <t>4 Sillas Pata de elefante color</t>
  </si>
  <si>
    <t>Conejo</t>
  </si>
  <si>
    <t xml:space="preserve">4 Sillas Brexia color </t>
  </si>
  <si>
    <t xml:space="preserve">Anaquel de plástico </t>
  </si>
  <si>
    <t xml:space="preserve">Lara </t>
  </si>
  <si>
    <t xml:space="preserve">Cajonera 3 cajones Jumbo </t>
  </si>
  <si>
    <t xml:space="preserve">Cajonera 4 cajones </t>
  </si>
  <si>
    <t>Lara</t>
  </si>
  <si>
    <t xml:space="preserve">Plásticos </t>
  </si>
  <si>
    <t xml:space="preserve">Cajonera 5 cajones </t>
  </si>
  <si>
    <t>Plásticos</t>
  </si>
  <si>
    <t xml:space="preserve">Tambo con tapa de 120LTS </t>
  </si>
  <si>
    <t>Placero</t>
  </si>
  <si>
    <t>Tambo con tapa de 200LTS</t>
  </si>
  <si>
    <t xml:space="preserve">Placero </t>
  </si>
  <si>
    <t xml:space="preserve">Tambo con tapa de 300LTS </t>
  </si>
  <si>
    <t xml:space="preserve">Tambo con tapa de 550LTS </t>
  </si>
  <si>
    <t>Tambo con tapa de 850LTS</t>
  </si>
  <si>
    <t>Tambo con tapa 1050LTS</t>
  </si>
  <si>
    <t xml:space="preserve">Bañera ovalada 110LTS </t>
  </si>
  <si>
    <t>Bañera ovalada 210 LTS</t>
  </si>
  <si>
    <t>Bañera ovalada 310LTS</t>
  </si>
  <si>
    <t>Bañera ovalada 380LTS</t>
  </si>
  <si>
    <t xml:space="preserve">Bañera ovalada 400LTS </t>
  </si>
  <si>
    <t xml:space="preserve">Bañera ovalada 650LTS </t>
  </si>
  <si>
    <t>Bañera ovalada 700LTS</t>
  </si>
  <si>
    <t>Bañera ovalada 900LTS</t>
  </si>
  <si>
    <t>Lavadero infonavit café chico</t>
  </si>
  <si>
    <t xml:space="preserve">Lavadero infonavit café grande </t>
  </si>
  <si>
    <t xml:space="preserve">Lavadero infonavit café grande con pileta </t>
  </si>
  <si>
    <t xml:space="preserve">Mesedora de madera chica </t>
  </si>
  <si>
    <t>D.C</t>
  </si>
  <si>
    <t>Mesedoras Mixtas</t>
  </si>
  <si>
    <t xml:space="preserve">Mesedora de madera mediana </t>
  </si>
  <si>
    <t xml:space="preserve">Mesedora de madera grande </t>
  </si>
  <si>
    <t xml:space="preserve">Mecedora tejida de Concha mini </t>
  </si>
  <si>
    <t>Mecedora tejida de Concha chica</t>
  </si>
  <si>
    <t>Mecedora tejida de Concha mediana</t>
  </si>
  <si>
    <t xml:space="preserve">Mecedora tejida de Concha grande </t>
  </si>
  <si>
    <t xml:space="preserve">Mecedora portavaso chica </t>
  </si>
  <si>
    <t xml:space="preserve">Mecedora portavaso mediana </t>
  </si>
  <si>
    <t xml:space="preserve">Mecedora portavaso grande </t>
  </si>
  <si>
    <t xml:space="preserve">Reposet Mecedora </t>
  </si>
  <si>
    <t>Reposet Fijo</t>
  </si>
  <si>
    <t>Sofa Fijo</t>
  </si>
  <si>
    <t xml:space="preserve">Sofa Mecedora </t>
  </si>
  <si>
    <t xml:space="preserve">Banca tejida </t>
  </si>
  <si>
    <t xml:space="preserve">Mecedora tubular acojinada </t>
  </si>
  <si>
    <t>Tubulares</t>
  </si>
  <si>
    <t xml:space="preserve">Banca tapizada tubular </t>
  </si>
  <si>
    <t xml:space="preserve">Tocador tubular </t>
  </si>
  <si>
    <t xml:space="preserve">Triana para garrafon tubular </t>
  </si>
  <si>
    <t xml:space="preserve">Puprite tubular </t>
  </si>
  <si>
    <t xml:space="preserve">Verdulero tubular </t>
  </si>
  <si>
    <t xml:space="preserve">Anaquel tubular </t>
  </si>
  <si>
    <t xml:space="preserve">Trastero tubular + frazada </t>
  </si>
  <si>
    <t xml:space="preserve">Cama matrimonial tapizada tubular </t>
  </si>
  <si>
    <t xml:space="preserve">Cama individual tapizada tubular </t>
  </si>
  <si>
    <t xml:space="preserve">Zapatera tubular </t>
  </si>
  <si>
    <t xml:space="preserve">Esquinero tubular </t>
  </si>
  <si>
    <t>Anaquel estampado infantil tubular</t>
  </si>
  <si>
    <t xml:space="preserve">Espejo tubular con luces </t>
  </si>
  <si>
    <t xml:space="preserve">Burro para planchar tubular </t>
  </si>
  <si>
    <t xml:space="preserve">Silla tubular tapizada </t>
  </si>
  <si>
    <t xml:space="preserve">Triana para garrafon 2 pisos tubular </t>
  </si>
  <si>
    <t>Toallero tubular</t>
  </si>
  <si>
    <t xml:space="preserve">Litera mixta tubular </t>
  </si>
  <si>
    <t xml:space="preserve">Litera individual tubular </t>
  </si>
  <si>
    <t>Mesa tubular 2.40cm</t>
  </si>
  <si>
    <t>Mesa tubular 1.80cm</t>
  </si>
  <si>
    <t>Mesa tubular 1.20cm</t>
  </si>
  <si>
    <t xml:space="preserve">Ropero tubular </t>
  </si>
  <si>
    <t xml:space="preserve">Comedor tubular para 4 sillas </t>
  </si>
  <si>
    <t xml:space="preserve">Comedor tubular para 6 sillas </t>
  </si>
  <si>
    <t xml:space="preserve">D.C </t>
  </si>
  <si>
    <t xml:space="preserve">Comedor tubular para 8 sillas </t>
  </si>
  <si>
    <t>Bocina 15" 7515</t>
  </si>
  <si>
    <t xml:space="preserve">Káiser </t>
  </si>
  <si>
    <t>Electrónica</t>
  </si>
  <si>
    <t xml:space="preserve">Banco redondo tubular </t>
  </si>
  <si>
    <t xml:space="preserve">Mesa con gabinete tubular para 4 sillas </t>
  </si>
  <si>
    <t xml:space="preserve">Mesa con gabinete tubular para 6 sillas </t>
  </si>
  <si>
    <t xml:space="preserve">Ropero payaso </t>
  </si>
  <si>
    <t xml:space="preserve">Madera D.C </t>
  </si>
  <si>
    <t>Madera</t>
  </si>
  <si>
    <t xml:space="preserve">Ropero Juvenil </t>
  </si>
  <si>
    <t>Madera D.C</t>
  </si>
  <si>
    <t xml:space="preserve">Ropero Juvenil 2 </t>
  </si>
  <si>
    <t>Ropero Roma</t>
  </si>
  <si>
    <t xml:space="preserve">Closet Brasil </t>
  </si>
  <si>
    <t xml:space="preserve">Closet Brasil con maleta </t>
  </si>
  <si>
    <t xml:space="preserve">Closet Roma con maleta </t>
  </si>
  <si>
    <t xml:space="preserve">Tocador Jirafa </t>
  </si>
  <si>
    <t xml:space="preserve">Tocador vanity chico </t>
  </si>
  <si>
    <t xml:space="preserve">Tocador colonial </t>
  </si>
  <si>
    <t xml:space="preserve">Cajonera de 5 cajones </t>
  </si>
  <si>
    <t>Marca D.C</t>
  </si>
  <si>
    <t xml:space="preserve">Cajonera de 5 cajones con chapa </t>
  </si>
  <si>
    <t xml:space="preserve">Cajonera de 10 cajones </t>
  </si>
  <si>
    <t xml:space="preserve">Cajonera de 10 cajones con chapa </t>
  </si>
  <si>
    <t xml:space="preserve">Changa con 5 cajones </t>
  </si>
  <si>
    <t xml:space="preserve">Alacena cantinera chica </t>
  </si>
  <si>
    <t xml:space="preserve">Alacena cantinera grande </t>
  </si>
  <si>
    <t xml:space="preserve">Alacena portamicro chica </t>
  </si>
  <si>
    <t xml:space="preserve">Tocador vanity led grande </t>
  </si>
  <si>
    <t>Tocador Hollywood</t>
  </si>
  <si>
    <t xml:space="preserve">Estufa de 4 quemadores </t>
  </si>
  <si>
    <t>Iem</t>
  </si>
  <si>
    <t>Línea blanca</t>
  </si>
  <si>
    <t xml:space="preserve">Estufa de 6 quemadores con horno </t>
  </si>
  <si>
    <t>Lavadora 11kg</t>
  </si>
  <si>
    <t>Hisense</t>
  </si>
  <si>
    <t xml:space="preserve">Lavadora 13kg </t>
  </si>
  <si>
    <t>Mirage</t>
  </si>
  <si>
    <t>Lavadora 18kg</t>
  </si>
  <si>
    <t xml:space="preserve">Winia </t>
  </si>
  <si>
    <t>Lavadora 22kg</t>
  </si>
  <si>
    <t>Lavadora 13kg</t>
  </si>
  <si>
    <t>ZMartech</t>
  </si>
  <si>
    <t>Roku 40" smart TV</t>
  </si>
  <si>
    <t>TCL</t>
  </si>
  <si>
    <t xml:space="preserve">Roku 32" </t>
  </si>
  <si>
    <t>Aireacondicionado 12000BTU</t>
  </si>
  <si>
    <t xml:space="preserve">Colchón individual </t>
  </si>
  <si>
    <t xml:space="preserve">Cosmo </t>
  </si>
  <si>
    <t>Hogar</t>
  </si>
  <si>
    <t xml:space="preserve">Colchón matrimonial </t>
  </si>
  <si>
    <t>Colchón king size</t>
  </si>
  <si>
    <t xml:space="preserve">Colchón individual Magic </t>
  </si>
  <si>
    <t>Restonic</t>
  </si>
  <si>
    <t xml:space="preserve">Colchón matrimonial Magic </t>
  </si>
  <si>
    <t>Colchón kingsa Magic</t>
  </si>
  <si>
    <t>Codigo</t>
  </si>
  <si>
    <t>Categoria</t>
  </si>
  <si>
    <t>Subcategoria</t>
  </si>
  <si>
    <t>Nombre_Comercial</t>
  </si>
  <si>
    <t>Nombre_Interno</t>
  </si>
  <si>
    <t>Marca</t>
  </si>
  <si>
    <t>Medida_Modelo</t>
  </si>
  <si>
    <t>Precio_Contado</t>
  </si>
  <si>
    <t>Precio_Credito</t>
  </si>
  <si>
    <t>Aplica_2_meses</t>
  </si>
  <si>
    <t>Pago_Semanal_2m</t>
  </si>
  <si>
    <t>Precio_2_meses</t>
  </si>
  <si>
    <t>Aplica_3_meses</t>
  </si>
  <si>
    <t>Pago_Semanal_3m</t>
  </si>
  <si>
    <t>Precio_3_meses</t>
  </si>
  <si>
    <t>Abono_Semanal_Largo</t>
  </si>
  <si>
    <t>Estatus</t>
  </si>
  <si>
    <t>Fecha_Actualizacion</t>
  </si>
  <si>
    <t>Notas</t>
  </si>
  <si>
    <t/>
  </si>
  <si>
    <t>Activo</t>
  </si>
  <si>
    <t>Cotizador rápido (elige un producto)</t>
  </si>
  <si>
    <t>Producto (Nombre Comercial)</t>
  </si>
  <si>
    <t>Código</t>
  </si>
  <si>
    <t>Categoría</t>
  </si>
  <si>
    <t>Subcategoría</t>
  </si>
  <si>
    <t>Precio Contado</t>
  </si>
  <si>
    <t>Precio Crédito</t>
  </si>
  <si>
    <t>Pago semanal 2 meses</t>
  </si>
  <si>
    <t>Total 2 meses</t>
  </si>
  <si>
    <t>Pago semanal 3 meses</t>
  </si>
  <si>
    <t>Total 3 meses</t>
  </si>
  <si>
    <t>Abono semanal (largo plazo)</t>
  </si>
  <si>
    <t>Fecha</t>
  </si>
  <si>
    <t>Ruta</t>
  </si>
  <si>
    <t>Vendedor</t>
  </si>
  <si>
    <t>Producto</t>
  </si>
  <si>
    <t>Cantidad</t>
  </si>
  <si>
    <t>Tipo_Venta (Crédito/Contado)</t>
  </si>
  <si>
    <t>Cliente</t>
  </si>
  <si>
    <t>Campo</t>
  </si>
  <si>
    <t>Antes</t>
  </si>
  <si>
    <t>Después</t>
  </si>
  <si>
    <t>Autorizó</t>
  </si>
  <si>
    <t>Motivo/Notas</t>
  </si>
  <si>
    <t>Codigo_Categoria</t>
  </si>
  <si>
    <t>Temporada</t>
  </si>
  <si>
    <t>COC</t>
  </si>
  <si>
    <t>MOB</t>
  </si>
  <si>
    <t>ELE</t>
  </si>
  <si>
    <t>HOG</t>
  </si>
  <si>
    <t>TMP</t>
  </si>
  <si>
    <t>Codigo_Sub</t>
  </si>
  <si>
    <t>Vaporera</t>
  </si>
  <si>
    <t>VAP</t>
  </si>
  <si>
    <t>Budinera</t>
  </si>
  <si>
    <t>BUD</t>
  </si>
  <si>
    <t>Batería</t>
  </si>
  <si>
    <t>BAT</t>
  </si>
  <si>
    <t>Comal</t>
  </si>
  <si>
    <t>COM</t>
  </si>
  <si>
    <t>Silla</t>
  </si>
  <si>
    <t>SIL</t>
  </si>
  <si>
    <t>Mesa</t>
  </si>
  <si>
    <t>MES</t>
  </si>
  <si>
    <t>Licuadora</t>
  </si>
  <si>
    <t>LIC</t>
  </si>
  <si>
    <t>Ventilador</t>
  </si>
  <si>
    <t>VEN</t>
  </si>
  <si>
    <t>Material</t>
  </si>
  <si>
    <t>Metal</t>
  </si>
  <si>
    <t>Plástico</t>
  </si>
  <si>
    <t>Tubular</t>
  </si>
  <si>
    <t>ELC</t>
  </si>
  <si>
    <t>LBL</t>
  </si>
  <si>
    <t xml:space="preserve">Olla </t>
  </si>
  <si>
    <t>OLL</t>
  </si>
  <si>
    <t xml:space="preserve">Sartén </t>
  </si>
  <si>
    <t>SAR</t>
  </si>
  <si>
    <t>Ropero</t>
  </si>
  <si>
    <t>ROP</t>
  </si>
  <si>
    <t>PLA</t>
  </si>
  <si>
    <t>EST</t>
  </si>
  <si>
    <t>CUB</t>
  </si>
  <si>
    <t>TIN</t>
  </si>
  <si>
    <t>Cubeta</t>
  </si>
  <si>
    <t xml:space="preserve">Tina </t>
  </si>
  <si>
    <t>REF</t>
  </si>
  <si>
    <t>LAV</t>
  </si>
  <si>
    <t>MIC</t>
  </si>
  <si>
    <t xml:space="preserve">Microondas </t>
  </si>
  <si>
    <t xml:space="preserve">Refrigerador </t>
  </si>
  <si>
    <t xml:space="preserve">Lavadora </t>
  </si>
  <si>
    <t>COL</t>
  </si>
  <si>
    <t>BCA</t>
  </si>
  <si>
    <t>Base de Cama</t>
  </si>
  <si>
    <t>Colchón</t>
  </si>
  <si>
    <t>Codigo_Material</t>
  </si>
  <si>
    <t>MAD</t>
  </si>
  <si>
    <t>MET</t>
  </si>
  <si>
    <t>TUB</t>
  </si>
  <si>
    <t>Alumino</t>
  </si>
  <si>
    <t>ALU</t>
  </si>
  <si>
    <t>Codigo_Cat</t>
  </si>
  <si>
    <t>Codigo_Mat</t>
  </si>
  <si>
    <t xml:space="preserve">Vaporera 70 triple fuerte </t>
  </si>
  <si>
    <t>Vap 180</t>
  </si>
  <si>
    <t>Peltre</t>
  </si>
  <si>
    <t>Triple Fuerte</t>
  </si>
  <si>
    <t>Bañera</t>
  </si>
  <si>
    <t>BAN</t>
  </si>
  <si>
    <t>Anaquel</t>
  </si>
  <si>
    <t>ANA</t>
  </si>
  <si>
    <t>Lavadero</t>
  </si>
  <si>
    <t>CAZ</t>
  </si>
  <si>
    <t>ARR</t>
  </si>
  <si>
    <t xml:space="preserve">Arrocera </t>
  </si>
  <si>
    <t xml:space="preserve">Cazo </t>
  </si>
  <si>
    <t>Cama</t>
  </si>
  <si>
    <t>CAM</t>
  </si>
  <si>
    <t>Litera</t>
  </si>
  <si>
    <t>LIT</t>
  </si>
  <si>
    <t>Comedor</t>
  </si>
  <si>
    <t>COMD</t>
  </si>
  <si>
    <t>Tocador</t>
  </si>
  <si>
    <t>TOC</t>
  </si>
  <si>
    <t>Closet</t>
  </si>
  <si>
    <t>CLO</t>
  </si>
  <si>
    <t>Cajonera</t>
  </si>
  <si>
    <t>CAJ</t>
  </si>
  <si>
    <t>Alacena</t>
  </si>
  <si>
    <t>ALA</t>
  </si>
  <si>
    <t>Banca</t>
  </si>
  <si>
    <t>Reposet</t>
  </si>
  <si>
    <t>REP</t>
  </si>
  <si>
    <t>Sofá</t>
  </si>
  <si>
    <t>SOF</t>
  </si>
  <si>
    <t>Banco</t>
  </si>
  <si>
    <t>Zapatera</t>
  </si>
  <si>
    <t>ZAP</t>
  </si>
  <si>
    <t>Trastero</t>
  </si>
  <si>
    <t>TRA</t>
  </si>
  <si>
    <t>Verdulero</t>
  </si>
  <si>
    <t>VER</t>
  </si>
  <si>
    <t>Esquinero</t>
  </si>
  <si>
    <t>ESQ</t>
  </si>
  <si>
    <t>Toallero</t>
  </si>
  <si>
    <t>TOA</t>
  </si>
  <si>
    <t>Burro</t>
  </si>
  <si>
    <t>BUR</t>
  </si>
  <si>
    <t>Espejo</t>
  </si>
  <si>
    <t>ESP</t>
  </si>
  <si>
    <t>TAM</t>
  </si>
  <si>
    <t>Mecedora</t>
  </si>
  <si>
    <t>MEC</t>
  </si>
  <si>
    <t>BCO</t>
  </si>
  <si>
    <t>Batidora</t>
  </si>
  <si>
    <t>BATI</t>
  </si>
  <si>
    <t>Estufa</t>
  </si>
  <si>
    <t>Aire acondicionado</t>
  </si>
  <si>
    <t>AIRE</t>
  </si>
  <si>
    <t xml:space="preserve">Tambo </t>
  </si>
  <si>
    <t>PSL</t>
  </si>
  <si>
    <t>PEL</t>
  </si>
  <si>
    <t>TF</t>
  </si>
  <si>
    <t>ACI</t>
  </si>
  <si>
    <t>Vap 70 TF</t>
  </si>
  <si>
    <t xml:space="preserve">Sarten 34 cm Triple fuerte (TF) </t>
  </si>
  <si>
    <t>Sarten 34cm TF</t>
  </si>
  <si>
    <t xml:space="preserve">Budinera 55 cm triple fuerte (TF) </t>
  </si>
  <si>
    <t>Budinera 55cm TF</t>
  </si>
  <si>
    <t>Sarten circus 5pz</t>
  </si>
  <si>
    <t>Sarten Circus 5pz</t>
  </si>
  <si>
    <t>Semanas</t>
  </si>
  <si>
    <t>Total largo plazo</t>
  </si>
  <si>
    <t>Vap 120</t>
  </si>
  <si>
    <t>Vap 90 Color</t>
  </si>
  <si>
    <t>Vaporera de aluminio 90cm pintada</t>
  </si>
  <si>
    <t xml:space="preserve">Vap 70 </t>
  </si>
  <si>
    <t>Vap 100</t>
  </si>
  <si>
    <t>Vap 45</t>
  </si>
  <si>
    <t>Vap 34</t>
  </si>
  <si>
    <t>Juego Maya</t>
  </si>
  <si>
    <t>Basico 1</t>
  </si>
  <si>
    <t>Basico 2</t>
  </si>
  <si>
    <t>Tepiaca</t>
  </si>
  <si>
    <t>Cazito pallero</t>
  </si>
  <si>
    <t xml:space="preserve">Sarten Yumbo </t>
  </si>
  <si>
    <t xml:space="preserve">Arrocera jumbo </t>
  </si>
  <si>
    <t>Córdoba</t>
  </si>
  <si>
    <t>Acayuqueña</t>
  </si>
  <si>
    <t>Don beto</t>
  </si>
  <si>
    <t>Tapachula</t>
  </si>
  <si>
    <t>Oceánica</t>
  </si>
  <si>
    <t>Sandra</t>
  </si>
  <si>
    <t>Victoria</t>
  </si>
  <si>
    <t>Alumino y Teflon</t>
  </si>
  <si>
    <t>ALUT</t>
  </si>
  <si>
    <t>Habana</t>
  </si>
  <si>
    <t>Comal Cinsa</t>
  </si>
  <si>
    <t>Comal Lamex</t>
  </si>
  <si>
    <t>Licuadora Oster</t>
  </si>
  <si>
    <t>Licuadora RCA</t>
  </si>
  <si>
    <t>Batidora 3L</t>
  </si>
  <si>
    <t>Plancha Oster</t>
  </si>
  <si>
    <t>Chiapaneca</t>
  </si>
  <si>
    <t>Pontevedra</t>
  </si>
  <si>
    <t>Tuxtla</t>
  </si>
  <si>
    <t>Duramax</t>
  </si>
  <si>
    <t>Sonora</t>
  </si>
  <si>
    <t>Ollas mexicana PEL</t>
  </si>
  <si>
    <t>Tobago</t>
  </si>
  <si>
    <t>Bateria Habana</t>
  </si>
  <si>
    <t>Bateria Eko</t>
  </si>
  <si>
    <t>Eko</t>
  </si>
  <si>
    <t>Esperanza</t>
  </si>
  <si>
    <t>Fernanda</t>
  </si>
  <si>
    <t>Románia</t>
  </si>
  <si>
    <t>Italia</t>
  </si>
  <si>
    <t>La frankFurt</t>
  </si>
  <si>
    <t>Vaporera Hanna 9pz</t>
  </si>
  <si>
    <t>Roma</t>
  </si>
  <si>
    <t>Valencia</t>
  </si>
  <si>
    <t>Valentina</t>
  </si>
  <si>
    <t>Mercurio</t>
  </si>
  <si>
    <t>Ventilador ZFAN</t>
  </si>
  <si>
    <t>Ventilador MAN</t>
  </si>
  <si>
    <t>Ventilador Navia</t>
  </si>
  <si>
    <t>Triana</t>
  </si>
  <si>
    <t>TRI</t>
  </si>
  <si>
    <t xml:space="preserve">Vidrio </t>
  </si>
  <si>
    <t>VID</t>
  </si>
  <si>
    <t>Bandejas</t>
  </si>
  <si>
    <t xml:space="preserve">Pupitre tubular </t>
  </si>
  <si>
    <t>Pupitre</t>
  </si>
  <si>
    <t>PUP</t>
  </si>
  <si>
    <t>Smart TV</t>
  </si>
  <si>
    <t>STV</t>
  </si>
  <si>
    <t>Bocina</t>
  </si>
  <si>
    <t>BOC</t>
  </si>
  <si>
    <t>Espuma</t>
  </si>
  <si>
    <t>listo</t>
  </si>
  <si>
    <t>Cama tubular king size</t>
  </si>
  <si>
    <t>Paquete de Frazadas 4pz</t>
  </si>
  <si>
    <t>Frazada 1pz</t>
  </si>
  <si>
    <t>Cobertor matrimonial 1pz</t>
  </si>
  <si>
    <t>Sabana matrimonial 1pz</t>
  </si>
  <si>
    <t>Sabana kingsa 1pz</t>
  </si>
  <si>
    <t>Frazadas</t>
  </si>
  <si>
    <t>FRZ</t>
  </si>
  <si>
    <t>Algodón</t>
  </si>
  <si>
    <t>ALG</t>
  </si>
  <si>
    <t>Pago_Semanal_1m</t>
  </si>
  <si>
    <t>Precio_1_meses</t>
  </si>
  <si>
    <t>Listo</t>
  </si>
  <si>
    <t>Descuento aplicado para calcular 2 y 3 meses (20% del precio a credicontado)</t>
  </si>
  <si>
    <t>Sarten Dubai</t>
  </si>
  <si>
    <t>20/032026</t>
  </si>
  <si>
    <t>Closet de Plastico</t>
  </si>
  <si>
    <t>Sartén Dubai 3pz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</si>
</sst>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;\-&quot;$&quot;#,##0"/>
    <numFmt numFmtId="164" formatCode="m/d/yyyy\ h:mm:ss"/>
    <numFmt numFmtId="165" formatCode="&quot;$&quot;#,##0.00"/>
    <numFmt numFmtId="166" formatCode="\$#,##0"/>
  </numFmts>
  <fonts count="16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22"/>
      <color theme="1"/>
      <name val="Arial"/>
    </font>
    <font>
      <b/>
      <sz val="22"/>
      <color theme="1"/>
      <name val="Calibri"/>
      <scheme val="minor"/>
    </font>
    <font>
      <sz val="14"/>
      <color theme="1"/>
      <name val="Arial"/>
    </font>
    <font>
      <sz val="14"/>
      <color theme="1"/>
      <name val="Calibri"/>
      <scheme val="minor"/>
    </font>
    <font>
      <b/>
      <sz val="10"/>
      <color rgb="FFFFFFFF"/>
      <name val="Calibri"/>
    </font>
    <font>
      <b/>
      <sz val="14"/>
      <name val="Calibri"/>
    </font>
    <font>
      <b/>
      <sz val="10"/>
      <name val="Calibri"/>
    </font>
    <font>
      <b/>
      <sz val="12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u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</patternFill>
    </fill>
    <fill>
      <patternFill patternType="solid">
        <fgColor rgb="FF1F4E79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165" fontId="4" fillId="0" borderId="0" xfId="0" applyNumberFormat="1" applyFont="1" applyAlignment="1">
      <alignment vertical="center"/>
    </xf>
    <xf numFmtId="165" fontId="5" fillId="0" borderId="0" xfId="0" applyNumberFormat="1" applyFont="1"/>
    <xf numFmtId="0" fontId="3" fillId="0" borderId="1" xfId="0" applyFont="1" applyBorder="1" applyAlignment="1">
      <alignment horizontal="center" vertical="center"/>
    </xf>
    <xf numFmtId="9" fontId="1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3" fillId="0" borderId="0" xfId="0" applyFont="1"/>
    <xf numFmtId="14" fontId="0" fillId="0" borderId="0" xfId="0" applyNumberForma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5" fontId="0" fillId="0" borderId="0" xfId="0" applyNumberForma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 wrapText="1"/>
    </xf>
  </cellXfs>
  <cellStyles count="1">
    <cellStyle name="Normal" xfId="0" builtinId="0"/>
  </cellStyles>
  <dxfs count="41">
    <dxf>
      <fill>
        <patternFill>
          <bgColor rgb="FFF7FA8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\$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2F55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7F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662AB-83ED-4243-B85C-5D0FED2E366E}" name="TablaCategorias" displayName="TablaCategorias" ref="A12:B21" totalsRowShown="0" headerRowDxfId="12" dataDxfId="11">
  <autoFilter ref="A12:B21" xr:uid="{773662AB-83ED-4243-B85C-5D0FED2E366E}"/>
  <tableColumns count="2">
    <tableColumn id="1" xr3:uid="{A0EFE5AC-4D9D-4AAA-95CC-2915B4A0C05A}" name="Categoria" dataDxfId="10"/>
    <tableColumn id="2" xr3:uid="{3BFEEBD4-839F-4FF9-BC1D-83BCA63FF158}" name="Codigo_Categori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A59B6-6C3B-4F18-9778-0E8224FAA732}" name="TablaSubcategorias" displayName="TablaSubcategorias" ref="D12:F69" totalsRowShown="0" dataDxfId="8">
  <autoFilter ref="D12:F69" xr:uid="{2F9A59B6-6C3B-4F18-9778-0E8224FAA732}"/>
  <tableColumns count="3">
    <tableColumn id="1" xr3:uid="{1AB36A77-0117-4D52-9FC4-F4B46B6325B4}" name="Categoria" dataDxfId="7"/>
    <tableColumn id="2" xr3:uid="{BFC8245B-77CF-421D-85BA-C706A53863D5}" name="Subcategoria" dataDxfId="6"/>
    <tableColumn id="3" xr3:uid="{49ADEA90-C284-438F-8A14-B973D1A353C2}" name="Codigo_Sub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82E5D7-F507-4A60-9C13-2021CD208F97}" name="TablaMateriales" displayName="TablaMateriales" ref="H12:I24" totalsRowShown="0" headerRowDxfId="4" dataDxfId="3">
  <autoFilter ref="H12:I24" xr:uid="{0C82E5D7-F507-4A60-9C13-2021CD208F97}"/>
  <tableColumns count="2">
    <tableColumn id="1" xr3:uid="{FA257400-10D9-43A2-9BF9-906E2D70913B}" name="Material" dataDxfId="2"/>
    <tableColumn id="2" xr3:uid="{5963E0B5-92DC-49AA-90F7-A5DC11AE5A0B}" name="Codigo_Material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08BA5-10ED-407E-A0E5-4AA264C0FD9A}" name="Tabla_Productos" displayName="Tabla_Productos" ref="A1:Y193" totalsRowShown="0" headerRowDxfId="40" headerRowBorderDxfId="39" tableBorderDxfId="38">
  <autoFilter ref="A1:Y193" xr:uid="{C2708BA5-10ED-407E-A0E5-4AA264C0FD9A}"/>
  <sortState xmlns:xlrd2="http://schemas.microsoft.com/office/spreadsheetml/2017/richdata2" ref="A2:Y193">
    <sortCondition ref="H1:H193"/>
  </sortState>
  <tableColumns count="25">
    <tableColumn id="1" xr3:uid="{4FF74D22-E530-44F1-A917-D8835223DEDB}" name="Codigo" dataDxfId="37">
      <calculatedColumnFormula>IF(OR(E2="",F2="",G2=""),"",E2&amp;"-"&amp;F2&amp;"-"&amp;G2&amp;"-"&amp;TEXT(COUNTIFS($E$2:E2,E2,$F$2:F2,F2,$G$2:G2,G2),"000"))</calculatedColumnFormula>
    </tableColumn>
    <tableColumn id="2" xr3:uid="{25D02FBE-176C-42D8-967F-DFB9F6ADF613}" name="Categoria" dataDxfId="36"/>
    <tableColumn id="3" xr3:uid="{DF9255CA-CA8F-4994-96D2-77EB70EBC5FD}" name="Subcategoria" dataDxfId="35"/>
    <tableColumn id="4" xr3:uid="{BF8874AF-4BAF-46CA-9001-9526E3B53586}" name="Material" dataDxfId="34"/>
    <tableColumn id="5" xr3:uid="{5ED0FA38-E9A3-48B8-ACD5-DF96790608CC}" name="Codigo_Cat" dataDxfId="33">
      <calculatedColumnFormula>_xlfn.XLOOKUP(B2,Configuración!A:A,Configuración!B:B,"")</calculatedColumnFormula>
    </tableColumn>
    <tableColumn id="6" xr3:uid="{65263085-8601-4C6E-B17E-7AA054B4B9A1}" name="Codigo_Sub" dataDxfId="32">
      <calculatedColumnFormula array="1">IF($C2="","",_xlfn.XLOOKUP(1,(Configuración!D:D=$B2)*(Configuración!E:E=$C2),Configuración!F:F,""))</calculatedColumnFormula>
    </tableColumn>
    <tableColumn id="7" xr3:uid="{822922A9-30F3-4970-9FA4-6D496E993F21}" name="Codigo_Mat" dataDxfId="31">
      <calculatedColumnFormula>IF($D2="","",_xlfn.XLOOKUP($D2,Configuración!H:H,Configuración!I:I,""))</calculatedColumnFormula>
    </tableColumn>
    <tableColumn id="8" xr3:uid="{FD6FF5E0-B852-411F-9A1D-1CF443B6F74C}" name="Nombre_Comercial" dataDxfId="30"/>
    <tableColumn id="9" xr3:uid="{58A176CB-2625-4FA1-BB6F-901C6A7FB418}" name="Nombre_Interno" dataDxfId="29"/>
    <tableColumn id="10" xr3:uid="{D626008C-3904-4679-836C-83BEB489C7FF}" name="Marca" dataDxfId="28"/>
    <tableColumn id="11" xr3:uid="{6DE6D3ED-F546-48E4-9101-A12B7A69DD52}" name="Medida_Modelo" dataDxfId="27"/>
    <tableColumn id="12" xr3:uid="{08850F94-1892-48CA-941B-982D90B371C6}" name="Precio_Contado" dataDxfId="26"/>
    <tableColumn id="25" xr3:uid="{23942127-BB5B-47F3-84F0-1F9CA6156099}" name="Pago_Semanal_1m" dataDxfId="25">
      <calculatedColumnFormula>MAX(CEILING(L2/4,10),100)</calculatedColumnFormula>
    </tableColumn>
    <tableColumn id="26" xr3:uid="{71F62DFA-EECF-42CB-8231-AB0FEFC47CCA}" name="Precio_1_meses" dataDxfId="24">
      <calculatedColumnFormula>M2*4</calculatedColumnFormula>
    </tableColumn>
    <tableColumn id="13" xr3:uid="{3E85E150-6D90-445E-9D3D-C8BFB02E7AAC}" name="Precio_Credito" dataDxfId="23"/>
    <tableColumn id="14" xr3:uid="{00205769-304D-46DE-BC12-432DAA0E335A}" name="Aplica_2_meses" dataDxfId="22">
      <calculatedColumnFormula>IF($O2&lt;Configuración!$B$7,"NO","SI")</calculatedColumnFormula>
    </tableColumn>
    <tableColumn id="15" xr3:uid="{F718F91B-0CC0-4CB7-9E78-DA4BAB15AEE5}" name="Pago_Semanal_2m" dataDxfId="21">
      <calculatedColumnFormula>IF($P2="NO","NO APLICA",MAX(CEILING(($O2*(1-Configuración!$B$2))/Configuración!$B$3,Configuración!$B$6),Configuración!$B$5))</calculatedColumnFormula>
    </tableColumn>
    <tableColumn id="16" xr3:uid="{4073237B-E600-4AFA-93DE-33CFA67AF18B}" name="Precio_2_meses" dataDxfId="20">
      <calculatedColumnFormula>IF($Q2="NO APLICA","NO APLICA",$Q2*Configuración!$B$3)</calculatedColumnFormula>
    </tableColumn>
    <tableColumn id="17" xr3:uid="{68C66787-10B8-4145-91A0-52B98EC2E2E2}" name="Aplica_3_meses" dataDxfId="19">
      <calculatedColumnFormula>IF($O2&lt;Configuración!$B$8,"NO","SI")</calculatedColumnFormula>
    </tableColumn>
    <tableColumn id="18" xr3:uid="{1841C9F5-6690-4FE2-A016-6487A0A9A779}" name="Pago_Semanal_3m" dataDxfId="18">
      <calculatedColumnFormula>IF($S2="NO","NO APLICA",MAX(CEILING(($O2*(1-Configuración!$B$2))/Configuración!$B$4,Configuración!$B$6),Configuración!$B$5))</calculatedColumnFormula>
    </tableColumn>
    <tableColumn id="19" xr3:uid="{C7F2F3D1-AE4E-4507-9D31-C733334B1CCA}" name="Precio_3_meses" dataDxfId="17">
      <calculatedColumnFormula>IF($T2="NO APLICA","NO APLICA",$T2*Configuración!$B$4)</calculatedColumnFormula>
    </tableColumn>
    <tableColumn id="20" xr3:uid="{8778597F-DF3A-44ED-9517-24C114357D90}" name="Abono_Semanal_Largo" dataDxfId="16">
      <calculatedColumnFormula>MAX(CEILING($O2/Configuración!$B$9,Configuración!$B$6),Configuración!$B$5)</calculatedColumnFormula>
    </tableColumn>
    <tableColumn id="21" xr3:uid="{3F47CBCB-2A48-4E3C-B480-2BEDDE191292}" name="Estatus" dataDxfId="15"/>
    <tableColumn id="22" xr3:uid="{A4B8068E-DB59-42A5-82EA-D859C0761FF1}" name="Fecha_Actualizacion" dataDxfId="14"/>
    <tableColumn id="23" xr3:uid="{72E735C2-6B42-4475-8C7C-8EB4CB02F3B3}" name="Nota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zoomScale="70" zoomScaleNormal="70" workbookViewId="0">
      <selection activeCell="C3" sqref="C3"/>
    </sheetView>
  </sheetViews>
  <sheetFormatPr baseColWidth="10" defaultColWidth="8.88671875" defaultRowHeight="13.8" x14ac:dyDescent="0.3"/>
  <cols>
    <col min="1" max="1" width="22" customWidth="1"/>
    <col min="2" max="2" width="16.5546875" customWidth="1"/>
    <col min="3" max="3" width="56.77734375" bestFit="1" customWidth="1"/>
    <col min="4" max="4" width="15.21875" bestFit="1" customWidth="1"/>
    <col min="5" max="5" width="20.21875" bestFit="1" customWidth="1"/>
    <col min="6" max="6" width="12" customWidth="1"/>
    <col min="8" max="8" width="15.77734375" bestFit="1" customWidth="1"/>
    <col min="9" max="9" width="17" bestFit="1" customWidth="1"/>
    <col min="11" max="11" width="10.33203125" customWidth="1"/>
  </cols>
  <sheetData>
    <row r="1" spans="1:12" ht="16.05" customHeight="1" x14ac:dyDescent="0.3">
      <c r="A1" s="15" t="s">
        <v>0</v>
      </c>
      <c r="B1" s="15" t="s">
        <v>1</v>
      </c>
      <c r="C1" s="15" t="s">
        <v>2</v>
      </c>
    </row>
    <row r="2" spans="1:12" x14ac:dyDescent="0.3">
      <c r="A2" t="s">
        <v>3</v>
      </c>
      <c r="B2">
        <v>0.2</v>
      </c>
      <c r="C2" t="s">
        <v>512</v>
      </c>
    </row>
    <row r="3" spans="1:12" x14ac:dyDescent="0.3">
      <c r="A3" t="s">
        <v>4</v>
      </c>
      <c r="B3">
        <v>8</v>
      </c>
      <c r="C3" t="s">
        <v>5</v>
      </c>
    </row>
    <row r="4" spans="1:12" x14ac:dyDescent="0.3">
      <c r="A4" t="s">
        <v>6</v>
      </c>
      <c r="B4">
        <v>12</v>
      </c>
      <c r="C4" t="s">
        <v>7</v>
      </c>
    </row>
    <row r="5" spans="1:12" x14ac:dyDescent="0.3">
      <c r="A5" t="s">
        <v>8</v>
      </c>
      <c r="B5">
        <v>100</v>
      </c>
      <c r="C5" t="s">
        <v>9</v>
      </c>
    </row>
    <row r="6" spans="1:12" x14ac:dyDescent="0.3">
      <c r="A6" t="s">
        <v>10</v>
      </c>
      <c r="B6">
        <v>10</v>
      </c>
      <c r="C6" t="s">
        <v>11</v>
      </c>
    </row>
    <row r="7" spans="1:12" x14ac:dyDescent="0.3">
      <c r="A7" t="s">
        <v>12</v>
      </c>
      <c r="B7">
        <v>2000</v>
      </c>
      <c r="C7" t="s">
        <v>13</v>
      </c>
    </row>
    <row r="8" spans="1:12" x14ac:dyDescent="0.3">
      <c r="A8" t="s">
        <v>14</v>
      </c>
      <c r="B8">
        <v>3000</v>
      </c>
      <c r="C8" t="s">
        <v>15</v>
      </c>
    </row>
    <row r="9" spans="1:12" x14ac:dyDescent="0.3">
      <c r="A9" t="s">
        <v>16</v>
      </c>
      <c r="B9">
        <v>52</v>
      </c>
      <c r="C9" t="s">
        <v>17</v>
      </c>
    </row>
    <row r="12" spans="1:12" x14ac:dyDescent="0.3">
      <c r="A12" s="23" t="s">
        <v>258</v>
      </c>
      <c r="B12" s="23" t="s">
        <v>302</v>
      </c>
      <c r="D12" s="26" t="s">
        <v>258</v>
      </c>
      <c r="E12" s="25" t="s">
        <v>259</v>
      </c>
      <c r="F12" s="26" t="s">
        <v>309</v>
      </c>
      <c r="H12" s="28" t="s">
        <v>326</v>
      </c>
      <c r="I12" s="24" t="s">
        <v>354</v>
      </c>
      <c r="J12" s="23"/>
      <c r="K12" s="24"/>
      <c r="L12" s="24"/>
    </row>
    <row r="13" spans="1:12" x14ac:dyDescent="0.3">
      <c r="A13" s="28" t="s">
        <v>18</v>
      </c>
      <c r="B13" s="28" t="s">
        <v>304</v>
      </c>
      <c r="D13" s="26" t="s">
        <v>18</v>
      </c>
      <c r="E13" s="26" t="s">
        <v>310</v>
      </c>
      <c r="F13" s="26" t="s">
        <v>311</v>
      </c>
      <c r="H13" s="28" t="s">
        <v>358</v>
      </c>
      <c r="I13" s="27" t="s">
        <v>359</v>
      </c>
      <c r="K13" s="25"/>
      <c r="L13" s="25"/>
    </row>
    <row r="14" spans="1:12" x14ac:dyDescent="0.3">
      <c r="A14" s="29" t="s">
        <v>19</v>
      </c>
      <c r="B14" s="28" t="s">
        <v>305</v>
      </c>
      <c r="D14" s="26" t="s">
        <v>18</v>
      </c>
      <c r="E14" s="26" t="s">
        <v>312</v>
      </c>
      <c r="F14" s="26" t="s">
        <v>313</v>
      </c>
      <c r="H14" s="28" t="s">
        <v>453</v>
      </c>
      <c r="I14" s="26" t="s">
        <v>454</v>
      </c>
      <c r="J14" s="23"/>
      <c r="K14" s="25"/>
      <c r="L14" s="25"/>
    </row>
    <row r="15" spans="1:12" x14ac:dyDescent="0.3">
      <c r="A15" s="29" t="s">
        <v>20</v>
      </c>
      <c r="B15" s="28" t="s">
        <v>306</v>
      </c>
      <c r="D15" s="26" t="s">
        <v>18</v>
      </c>
      <c r="E15" s="26" t="s">
        <v>314</v>
      </c>
      <c r="F15" s="26" t="s">
        <v>315</v>
      </c>
      <c r="H15" s="23" t="s">
        <v>94</v>
      </c>
      <c r="I15" s="28" t="s">
        <v>422</v>
      </c>
    </row>
    <row r="16" spans="1:12" x14ac:dyDescent="0.3">
      <c r="A16" s="28" t="s">
        <v>203</v>
      </c>
      <c r="B16" s="28" t="s">
        <v>330</v>
      </c>
      <c r="D16" s="26" t="s">
        <v>18</v>
      </c>
      <c r="E16" s="26" t="s">
        <v>316</v>
      </c>
      <c r="F16" s="26" t="s">
        <v>317</v>
      </c>
      <c r="H16" s="28" t="s">
        <v>209</v>
      </c>
      <c r="I16" s="26" t="s">
        <v>355</v>
      </c>
      <c r="J16" s="23"/>
    </row>
    <row r="17" spans="1:10" x14ac:dyDescent="0.3">
      <c r="A17" s="28" t="s">
        <v>233</v>
      </c>
      <c r="B17" s="28" t="s">
        <v>331</v>
      </c>
      <c r="D17" s="26" t="s">
        <v>18</v>
      </c>
      <c r="E17" s="28" t="s">
        <v>332</v>
      </c>
      <c r="F17" s="26" t="s">
        <v>333</v>
      </c>
      <c r="H17" s="28" t="s">
        <v>327</v>
      </c>
      <c r="I17" s="26" t="s">
        <v>356</v>
      </c>
    </row>
    <row r="18" spans="1:10" x14ac:dyDescent="0.3">
      <c r="A18" s="28" t="s">
        <v>250</v>
      </c>
      <c r="B18" s="28" t="s">
        <v>307</v>
      </c>
      <c r="D18" s="26" t="s">
        <v>18</v>
      </c>
      <c r="E18" s="28" t="s">
        <v>334</v>
      </c>
      <c r="F18" s="26" t="s">
        <v>335</v>
      </c>
      <c r="H18" s="28" t="s">
        <v>328</v>
      </c>
      <c r="I18" s="26" t="s">
        <v>419</v>
      </c>
      <c r="J18" s="23"/>
    </row>
    <row r="19" spans="1:10" x14ac:dyDescent="0.3">
      <c r="A19" s="28" t="s">
        <v>135</v>
      </c>
      <c r="B19" s="28" t="s">
        <v>338</v>
      </c>
      <c r="D19" s="26" t="s">
        <v>18</v>
      </c>
      <c r="E19" s="27" t="s">
        <v>374</v>
      </c>
      <c r="F19" s="26" t="s">
        <v>371</v>
      </c>
      <c r="H19" s="28" t="s">
        <v>329</v>
      </c>
      <c r="I19" s="26" t="s">
        <v>357</v>
      </c>
      <c r="J19" s="30"/>
    </row>
    <row r="20" spans="1:10" x14ac:dyDescent="0.3">
      <c r="A20" s="28" t="s">
        <v>303</v>
      </c>
      <c r="B20" s="28" t="s">
        <v>308</v>
      </c>
      <c r="D20" s="26" t="s">
        <v>18</v>
      </c>
      <c r="E20" s="27" t="s">
        <v>373</v>
      </c>
      <c r="F20" s="26" t="s">
        <v>372</v>
      </c>
      <c r="H20" s="28" t="s">
        <v>364</v>
      </c>
      <c r="I20" s="26" t="s">
        <v>420</v>
      </c>
      <c r="J20" s="31"/>
    </row>
    <row r="21" spans="1:10" x14ac:dyDescent="0.3">
      <c r="A21" s="28"/>
      <c r="B21" s="28"/>
      <c r="D21" s="26" t="s">
        <v>18</v>
      </c>
      <c r="E21" s="26" t="s">
        <v>489</v>
      </c>
      <c r="F21" s="26" t="s">
        <v>367</v>
      </c>
      <c r="H21" s="28" t="s">
        <v>365</v>
      </c>
      <c r="I21" s="28" t="s">
        <v>421</v>
      </c>
      <c r="J21" s="24"/>
    </row>
    <row r="22" spans="1:10" x14ac:dyDescent="0.3">
      <c r="D22" s="29" t="s">
        <v>19</v>
      </c>
      <c r="E22" s="28" t="s">
        <v>410</v>
      </c>
      <c r="F22" s="26" t="s">
        <v>411</v>
      </c>
      <c r="H22" s="28" t="s">
        <v>487</v>
      </c>
      <c r="I22" s="26" t="s">
        <v>488</v>
      </c>
      <c r="J22" s="25"/>
    </row>
    <row r="23" spans="1:10" x14ac:dyDescent="0.3">
      <c r="D23" s="29" t="s">
        <v>19</v>
      </c>
      <c r="E23" s="28" t="s">
        <v>318</v>
      </c>
      <c r="F23" s="26" t="s">
        <v>319</v>
      </c>
      <c r="H23" s="21" t="s">
        <v>497</v>
      </c>
      <c r="I23" s="21" t="s">
        <v>408</v>
      </c>
      <c r="J23" s="25"/>
    </row>
    <row r="24" spans="1:10" x14ac:dyDescent="0.3">
      <c r="C24" s="32"/>
      <c r="D24" s="29" t="s">
        <v>19</v>
      </c>
      <c r="E24" s="26" t="s">
        <v>320</v>
      </c>
      <c r="F24" s="26" t="s">
        <v>321</v>
      </c>
      <c r="H24" s="28" t="s">
        <v>507</v>
      </c>
      <c r="I24" s="26" t="s">
        <v>508</v>
      </c>
      <c r="J24" s="25"/>
    </row>
    <row r="25" spans="1:10" x14ac:dyDescent="0.3">
      <c r="D25" s="29" t="s">
        <v>19</v>
      </c>
      <c r="E25" s="26" t="s">
        <v>336</v>
      </c>
      <c r="F25" s="26" t="s">
        <v>337</v>
      </c>
      <c r="H25" s="23"/>
      <c r="I25" s="25"/>
      <c r="J25" s="25"/>
    </row>
    <row r="26" spans="1:10" x14ac:dyDescent="0.3">
      <c r="D26" s="29" t="s">
        <v>19</v>
      </c>
      <c r="E26" s="26" t="s">
        <v>375</v>
      </c>
      <c r="F26" s="26" t="s">
        <v>376</v>
      </c>
      <c r="I26" s="25"/>
      <c r="J26" s="25"/>
    </row>
    <row r="27" spans="1:10" x14ac:dyDescent="0.3">
      <c r="D27" s="29" t="s">
        <v>19</v>
      </c>
      <c r="E27" s="26" t="s">
        <v>377</v>
      </c>
      <c r="F27" s="26" t="s">
        <v>378</v>
      </c>
      <c r="I27" s="23"/>
    </row>
    <row r="28" spans="1:10" x14ac:dyDescent="0.3">
      <c r="D28" s="29" t="s">
        <v>19</v>
      </c>
      <c r="E28" s="26" t="s">
        <v>379</v>
      </c>
      <c r="F28" s="26" t="s">
        <v>380</v>
      </c>
    </row>
    <row r="29" spans="1:10" x14ac:dyDescent="0.3">
      <c r="D29" s="29" t="s">
        <v>19</v>
      </c>
      <c r="E29" s="26" t="s">
        <v>381</v>
      </c>
      <c r="F29" s="26" t="s">
        <v>382</v>
      </c>
    </row>
    <row r="30" spans="1:10" x14ac:dyDescent="0.3">
      <c r="D30" s="29" t="s">
        <v>19</v>
      </c>
      <c r="E30" s="26" t="s">
        <v>383</v>
      </c>
      <c r="F30" s="26" t="s">
        <v>384</v>
      </c>
    </row>
    <row r="31" spans="1:10" x14ac:dyDescent="0.3">
      <c r="D31" s="29" t="s">
        <v>19</v>
      </c>
      <c r="E31" s="26" t="s">
        <v>385</v>
      </c>
      <c r="F31" s="26" t="s">
        <v>386</v>
      </c>
    </row>
    <row r="32" spans="1:10" x14ac:dyDescent="0.3">
      <c r="D32" s="29" t="s">
        <v>19</v>
      </c>
      <c r="E32" s="26" t="s">
        <v>387</v>
      </c>
      <c r="F32" s="26" t="s">
        <v>388</v>
      </c>
    </row>
    <row r="33" spans="3:8" x14ac:dyDescent="0.3">
      <c r="D33" s="29" t="s">
        <v>19</v>
      </c>
      <c r="E33" s="26" t="s">
        <v>389</v>
      </c>
      <c r="F33" s="26" t="s">
        <v>367</v>
      </c>
    </row>
    <row r="34" spans="3:8" x14ac:dyDescent="0.3">
      <c r="C34" s="23"/>
      <c r="D34" s="29" t="s">
        <v>19</v>
      </c>
      <c r="E34" s="26" t="s">
        <v>390</v>
      </c>
      <c r="F34" s="26" t="s">
        <v>391</v>
      </c>
      <c r="H34" s="23"/>
    </row>
    <row r="35" spans="3:8" x14ac:dyDescent="0.3">
      <c r="D35" s="29" t="s">
        <v>19</v>
      </c>
      <c r="E35" s="26" t="s">
        <v>392</v>
      </c>
      <c r="F35" s="26" t="s">
        <v>393</v>
      </c>
      <c r="H35" s="30"/>
    </row>
    <row r="36" spans="3:8" x14ac:dyDescent="0.3">
      <c r="D36" s="29" t="s">
        <v>19</v>
      </c>
      <c r="E36" s="26" t="s">
        <v>394</v>
      </c>
      <c r="F36" s="26" t="s">
        <v>412</v>
      </c>
      <c r="H36" s="31"/>
    </row>
    <row r="37" spans="3:8" x14ac:dyDescent="0.3">
      <c r="D37" s="29" t="s">
        <v>19</v>
      </c>
      <c r="E37" s="26" t="s">
        <v>395</v>
      </c>
      <c r="F37" s="26" t="s">
        <v>396</v>
      </c>
      <c r="H37" s="30"/>
    </row>
    <row r="38" spans="3:8" x14ac:dyDescent="0.3">
      <c r="D38" s="29" t="s">
        <v>19</v>
      </c>
      <c r="E38" s="26" t="s">
        <v>397</v>
      </c>
      <c r="F38" s="26" t="s">
        <v>398</v>
      </c>
      <c r="H38" s="31"/>
    </row>
    <row r="39" spans="3:8" x14ac:dyDescent="0.3">
      <c r="D39" s="29" t="s">
        <v>19</v>
      </c>
      <c r="E39" s="26" t="s">
        <v>399</v>
      </c>
      <c r="F39" s="26" t="s">
        <v>400</v>
      </c>
    </row>
    <row r="40" spans="3:8" x14ac:dyDescent="0.3">
      <c r="D40" s="29" t="s">
        <v>19</v>
      </c>
      <c r="E40" s="26" t="s">
        <v>401</v>
      </c>
      <c r="F40" s="26" t="s">
        <v>402</v>
      </c>
    </row>
    <row r="41" spans="3:8" x14ac:dyDescent="0.3">
      <c r="D41" s="29" t="s">
        <v>19</v>
      </c>
      <c r="E41" s="26" t="s">
        <v>403</v>
      </c>
      <c r="F41" s="26" t="s">
        <v>404</v>
      </c>
    </row>
    <row r="42" spans="3:8" x14ac:dyDescent="0.3">
      <c r="D42" s="29" t="s">
        <v>19</v>
      </c>
      <c r="E42" s="26" t="s">
        <v>405</v>
      </c>
      <c r="F42" s="26" t="s">
        <v>406</v>
      </c>
    </row>
    <row r="43" spans="3:8" x14ac:dyDescent="0.3">
      <c r="D43" s="29" t="s">
        <v>19</v>
      </c>
      <c r="E43" s="26" t="s">
        <v>407</v>
      </c>
      <c r="F43" s="26" t="s">
        <v>408</v>
      </c>
    </row>
    <row r="44" spans="3:8" x14ac:dyDescent="0.3">
      <c r="D44" s="29" t="s">
        <v>19</v>
      </c>
      <c r="E44" s="28" t="s">
        <v>485</v>
      </c>
      <c r="F44" s="26" t="s">
        <v>486</v>
      </c>
    </row>
    <row r="45" spans="3:8" x14ac:dyDescent="0.3">
      <c r="D45" s="29" t="s">
        <v>19</v>
      </c>
      <c r="E45" s="26" t="s">
        <v>491</v>
      </c>
      <c r="F45" s="21" t="s">
        <v>492</v>
      </c>
    </row>
    <row r="46" spans="3:8" x14ac:dyDescent="0.3">
      <c r="D46" s="28" t="s">
        <v>19</v>
      </c>
      <c r="E46" s="27" t="s">
        <v>368</v>
      </c>
      <c r="F46" s="26" t="s">
        <v>369</v>
      </c>
    </row>
    <row r="47" spans="3:8" x14ac:dyDescent="0.3">
      <c r="D47" s="29" t="s">
        <v>20</v>
      </c>
      <c r="E47" s="27" t="s">
        <v>322</v>
      </c>
      <c r="F47" s="26" t="s">
        <v>323</v>
      </c>
    </row>
    <row r="48" spans="3:8" x14ac:dyDescent="0.3">
      <c r="D48" s="29" t="s">
        <v>20</v>
      </c>
      <c r="E48" s="27" t="s">
        <v>324</v>
      </c>
      <c r="F48" s="26" t="s">
        <v>325</v>
      </c>
    </row>
    <row r="49" spans="4:8" x14ac:dyDescent="0.3">
      <c r="D49" s="29" t="s">
        <v>20</v>
      </c>
      <c r="E49" s="27" t="s">
        <v>79</v>
      </c>
      <c r="F49" s="26" t="s">
        <v>338</v>
      </c>
      <c r="H49" s="23"/>
    </row>
    <row r="50" spans="4:8" x14ac:dyDescent="0.3">
      <c r="D50" s="29" t="s">
        <v>20</v>
      </c>
      <c r="E50" s="27" t="s">
        <v>413</v>
      </c>
      <c r="F50" s="26" t="s">
        <v>414</v>
      </c>
    </row>
    <row r="51" spans="4:8" x14ac:dyDescent="0.3">
      <c r="D51" s="28" t="s">
        <v>233</v>
      </c>
      <c r="E51" s="27" t="s">
        <v>348</v>
      </c>
      <c r="F51" s="26" t="s">
        <v>344</v>
      </c>
      <c r="H51" s="23"/>
    </row>
    <row r="52" spans="4:8" x14ac:dyDescent="0.3">
      <c r="D52" s="28" t="s">
        <v>233</v>
      </c>
      <c r="E52" s="27" t="s">
        <v>349</v>
      </c>
      <c r="F52" s="26" t="s">
        <v>345</v>
      </c>
    </row>
    <row r="53" spans="4:8" x14ac:dyDescent="0.3">
      <c r="D53" s="28" t="s">
        <v>233</v>
      </c>
      <c r="E53" s="27" t="s">
        <v>415</v>
      </c>
      <c r="F53" s="26" t="s">
        <v>339</v>
      </c>
      <c r="H53" s="23"/>
    </row>
    <row r="54" spans="4:8" x14ac:dyDescent="0.3">
      <c r="D54" s="28" t="s">
        <v>233</v>
      </c>
      <c r="E54" s="27" t="s">
        <v>347</v>
      </c>
      <c r="F54" s="26" t="s">
        <v>346</v>
      </c>
    </row>
    <row r="55" spans="4:8" x14ac:dyDescent="0.3">
      <c r="D55" s="28" t="s">
        <v>233</v>
      </c>
      <c r="E55" s="26" t="s">
        <v>416</v>
      </c>
      <c r="F55" s="26" t="s">
        <v>417</v>
      </c>
      <c r="H55" s="23"/>
    </row>
    <row r="56" spans="4:8" x14ac:dyDescent="0.3">
      <c r="D56" s="28" t="s">
        <v>135</v>
      </c>
      <c r="E56" s="27" t="s">
        <v>342</v>
      </c>
      <c r="F56" s="26" t="s">
        <v>340</v>
      </c>
    </row>
    <row r="57" spans="4:8" x14ac:dyDescent="0.3">
      <c r="D57" s="28" t="s">
        <v>135</v>
      </c>
      <c r="E57" s="27" t="s">
        <v>343</v>
      </c>
      <c r="F57" s="26" t="s">
        <v>341</v>
      </c>
    </row>
    <row r="58" spans="4:8" x14ac:dyDescent="0.3">
      <c r="D58" s="28" t="s">
        <v>135</v>
      </c>
      <c r="E58" s="27" t="s">
        <v>366</v>
      </c>
      <c r="F58" s="26" t="s">
        <v>367</v>
      </c>
    </row>
    <row r="59" spans="4:8" x14ac:dyDescent="0.3">
      <c r="D59" s="28" t="s">
        <v>135</v>
      </c>
      <c r="E59" s="27" t="s">
        <v>370</v>
      </c>
      <c r="F59" s="26" t="s">
        <v>345</v>
      </c>
    </row>
    <row r="60" spans="4:8" x14ac:dyDescent="0.3">
      <c r="D60" s="28" t="s">
        <v>135</v>
      </c>
      <c r="E60" s="27" t="s">
        <v>418</v>
      </c>
      <c r="F60" s="26" t="s">
        <v>409</v>
      </c>
    </row>
    <row r="61" spans="4:8" x14ac:dyDescent="0.3">
      <c r="D61" s="28" t="s">
        <v>250</v>
      </c>
      <c r="E61" s="28" t="s">
        <v>353</v>
      </c>
      <c r="F61" s="26" t="s">
        <v>350</v>
      </c>
    </row>
    <row r="62" spans="4:8" x14ac:dyDescent="0.3">
      <c r="D62" s="28" t="s">
        <v>250</v>
      </c>
      <c r="E62" s="26" t="s">
        <v>352</v>
      </c>
      <c r="F62" s="26" t="s">
        <v>351</v>
      </c>
    </row>
    <row r="63" spans="4:8" x14ac:dyDescent="0.3">
      <c r="D63" s="28" t="s">
        <v>250</v>
      </c>
      <c r="E63" s="26" t="s">
        <v>505</v>
      </c>
      <c r="F63" s="26" t="s">
        <v>506</v>
      </c>
    </row>
    <row r="64" spans="4:8" x14ac:dyDescent="0.3">
      <c r="D64" s="28" t="s">
        <v>203</v>
      </c>
      <c r="E64" s="21" t="s">
        <v>493</v>
      </c>
      <c r="F64" s="21" t="s">
        <v>494</v>
      </c>
    </row>
    <row r="65" spans="4:6" x14ac:dyDescent="0.3">
      <c r="D65" s="28" t="s">
        <v>203</v>
      </c>
      <c r="E65" s="21" t="s">
        <v>495</v>
      </c>
      <c r="F65" s="26" t="s">
        <v>496</v>
      </c>
    </row>
    <row r="66" spans="4:6" x14ac:dyDescent="0.3">
      <c r="D66" s="28"/>
      <c r="E66" s="23"/>
      <c r="F66" s="26"/>
    </row>
    <row r="67" spans="4:6" x14ac:dyDescent="0.3">
      <c r="D67" s="28"/>
      <c r="E67" s="23"/>
      <c r="F67" s="26"/>
    </row>
    <row r="68" spans="4:6" x14ac:dyDescent="0.3">
      <c r="D68" s="28"/>
      <c r="E68" s="23"/>
      <c r="F68" s="26"/>
    </row>
    <row r="69" spans="4:6" x14ac:dyDescent="0.3">
      <c r="D69" s="26"/>
      <c r="E69" s="26"/>
      <c r="F69" s="26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2"/>
  <sheetViews>
    <sheetView topLeftCell="A44" zoomScale="49" zoomScaleNormal="49" workbookViewId="0">
      <selection activeCell="A58" sqref="A58"/>
    </sheetView>
  </sheetViews>
  <sheetFormatPr baseColWidth="10" defaultColWidth="12.6640625" defaultRowHeight="13.8" x14ac:dyDescent="0.3"/>
  <cols>
    <col min="1" max="1" width="15.77734375" customWidth="1"/>
    <col min="2" max="2" width="45.6640625" bestFit="1" customWidth="1"/>
    <col min="3" max="3" width="37.5546875" bestFit="1" customWidth="1"/>
    <col min="4" max="4" width="40.88671875" bestFit="1" customWidth="1"/>
    <col min="5" max="6" width="22.77734375" customWidth="1"/>
    <col min="7" max="7" width="24.5546875" bestFit="1" customWidth="1"/>
    <col min="8" max="8" width="21" bestFit="1" customWidth="1"/>
    <col min="9" max="9" width="24.5546875" bestFit="1" customWidth="1"/>
    <col min="10" max="10" width="21" bestFit="1" customWidth="1"/>
    <col min="11" max="11" width="15.33203125" bestFit="1" customWidth="1"/>
    <col min="12" max="19" width="18.88671875" customWidth="1"/>
  </cols>
  <sheetData>
    <row r="1" spans="1:16" ht="112.8" x14ac:dyDescent="0.3">
      <c r="A1" s="1"/>
      <c r="B1" s="2" t="s">
        <v>21</v>
      </c>
      <c r="C1" s="3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1"/>
      <c r="M1" s="1"/>
    </row>
    <row r="2" spans="1:16" ht="56.4" x14ac:dyDescent="0.35">
      <c r="A2" s="4"/>
      <c r="B2" s="5" t="s">
        <v>31</v>
      </c>
      <c r="C2" s="6" t="s">
        <v>32</v>
      </c>
      <c r="D2" s="6" t="s">
        <v>18</v>
      </c>
      <c r="E2" s="7">
        <v>10900</v>
      </c>
      <c r="F2" s="7">
        <v>7630</v>
      </c>
      <c r="G2" s="7">
        <f t="shared" ref="G2:G33" si="0">IF(I2="NO APLICA","NO APLICA",I2*8)</f>
        <v>8720</v>
      </c>
      <c r="H2" s="8">
        <f t="shared" ref="H2:H33" si="1">IF(J2="NO APLICA","NO APLICA",J2*12)</f>
        <v>8760</v>
      </c>
      <c r="I2" s="7">
        <f t="shared" ref="I2:I33" si="2">IF(E2&lt;2000,"NO APLICA",MAX(CEILING((E2*0.8)/8,10),100))</f>
        <v>1090</v>
      </c>
      <c r="J2" s="8">
        <f t="shared" ref="J2:J33" si="3">IF(E2&lt;3000,"NO APLICA",MAX(CEILING((E2*0.8)/12,10),100))</f>
        <v>730</v>
      </c>
      <c r="K2" s="8">
        <f t="shared" ref="K2:K33" si="4">MAX(CEILING(E2/52,10),100)</f>
        <v>210</v>
      </c>
      <c r="L2" s="9"/>
      <c r="M2" s="10"/>
      <c r="O2" s="11"/>
      <c r="P2" s="12"/>
    </row>
    <row r="3" spans="1:16" ht="56.4" x14ac:dyDescent="0.35">
      <c r="A3" s="4"/>
      <c r="B3" s="5" t="s">
        <v>33</v>
      </c>
      <c r="C3" s="6" t="s">
        <v>34</v>
      </c>
      <c r="D3" s="6" t="s">
        <v>18</v>
      </c>
      <c r="E3" s="7">
        <v>5000</v>
      </c>
      <c r="F3" s="7">
        <v>3500</v>
      </c>
      <c r="G3" s="7">
        <f t="shared" si="0"/>
        <v>4000</v>
      </c>
      <c r="H3" s="8">
        <f t="shared" si="1"/>
        <v>4080</v>
      </c>
      <c r="I3" s="7">
        <f t="shared" si="2"/>
        <v>500</v>
      </c>
      <c r="J3" s="8">
        <f t="shared" si="3"/>
        <v>340</v>
      </c>
      <c r="K3" s="8">
        <f t="shared" si="4"/>
        <v>100</v>
      </c>
      <c r="L3" s="9"/>
      <c r="M3" s="10"/>
      <c r="O3" s="11"/>
      <c r="P3" s="12"/>
    </row>
    <row r="4" spans="1:16" ht="56.4" x14ac:dyDescent="0.35">
      <c r="A4" s="4"/>
      <c r="B4" s="5" t="s">
        <v>35</v>
      </c>
      <c r="C4" s="6" t="s">
        <v>32</v>
      </c>
      <c r="D4" s="6" t="s">
        <v>18</v>
      </c>
      <c r="E4" s="7">
        <v>4000</v>
      </c>
      <c r="F4" s="7">
        <v>2800</v>
      </c>
      <c r="G4" s="7">
        <f t="shared" si="0"/>
        <v>3200</v>
      </c>
      <c r="H4" s="8">
        <f t="shared" si="1"/>
        <v>3240</v>
      </c>
      <c r="I4" s="7">
        <f t="shared" si="2"/>
        <v>400</v>
      </c>
      <c r="J4" s="8">
        <f t="shared" si="3"/>
        <v>270</v>
      </c>
      <c r="K4" s="8">
        <f t="shared" si="4"/>
        <v>100</v>
      </c>
      <c r="L4" s="9"/>
      <c r="M4" s="10"/>
      <c r="O4" s="11"/>
      <c r="P4" s="12"/>
    </row>
    <row r="5" spans="1:16" ht="56.4" x14ac:dyDescent="0.35">
      <c r="A5" s="4"/>
      <c r="B5" s="5" t="s">
        <v>36</v>
      </c>
      <c r="C5" s="6" t="s">
        <v>32</v>
      </c>
      <c r="D5" s="6" t="s">
        <v>18</v>
      </c>
      <c r="E5" s="7">
        <v>3300</v>
      </c>
      <c r="F5" s="7">
        <v>2310</v>
      </c>
      <c r="G5" s="7">
        <f t="shared" si="0"/>
        <v>2640</v>
      </c>
      <c r="H5" s="8">
        <f t="shared" si="1"/>
        <v>2640</v>
      </c>
      <c r="I5" s="7">
        <f t="shared" si="2"/>
        <v>330</v>
      </c>
      <c r="J5" s="8">
        <f t="shared" si="3"/>
        <v>220</v>
      </c>
      <c r="K5" s="8">
        <f t="shared" si="4"/>
        <v>100</v>
      </c>
      <c r="L5" s="9"/>
      <c r="M5" s="10"/>
      <c r="O5" s="11"/>
      <c r="P5" s="12"/>
    </row>
    <row r="6" spans="1:16" ht="56.4" x14ac:dyDescent="0.35">
      <c r="A6" s="4"/>
      <c r="B6" s="5" t="s">
        <v>37</v>
      </c>
      <c r="C6" s="6" t="s">
        <v>38</v>
      </c>
      <c r="D6" s="6" t="s">
        <v>18</v>
      </c>
      <c r="E6" s="7">
        <v>4000</v>
      </c>
      <c r="F6" s="7">
        <v>2800</v>
      </c>
      <c r="G6" s="7">
        <f t="shared" si="0"/>
        <v>3200</v>
      </c>
      <c r="H6" s="8">
        <f t="shared" si="1"/>
        <v>3240</v>
      </c>
      <c r="I6" s="7">
        <f t="shared" si="2"/>
        <v>400</v>
      </c>
      <c r="J6" s="8">
        <f t="shared" si="3"/>
        <v>270</v>
      </c>
      <c r="K6" s="8">
        <f t="shared" si="4"/>
        <v>100</v>
      </c>
      <c r="L6" s="9"/>
      <c r="M6" s="10"/>
      <c r="O6" s="11"/>
      <c r="P6" s="12"/>
    </row>
    <row r="7" spans="1:16" ht="56.4" x14ac:dyDescent="0.35">
      <c r="A7" s="4"/>
      <c r="B7" s="5" t="s">
        <v>39</v>
      </c>
      <c r="C7" s="6" t="s">
        <v>32</v>
      </c>
      <c r="D7" s="6" t="s">
        <v>18</v>
      </c>
      <c r="E7" s="7">
        <v>2500</v>
      </c>
      <c r="F7" s="7">
        <v>1750</v>
      </c>
      <c r="G7" s="7">
        <f t="shared" si="0"/>
        <v>2000</v>
      </c>
      <c r="H7" s="13" t="str">
        <f t="shared" si="1"/>
        <v>NO APLICA</v>
      </c>
      <c r="I7" s="7">
        <f t="shared" si="2"/>
        <v>250</v>
      </c>
      <c r="J7" s="8" t="str">
        <f t="shared" si="3"/>
        <v>NO APLICA</v>
      </c>
      <c r="K7" s="8">
        <f t="shared" si="4"/>
        <v>100</v>
      </c>
      <c r="L7" s="9"/>
      <c r="M7" s="10"/>
      <c r="O7" s="11"/>
      <c r="P7" s="12"/>
    </row>
    <row r="8" spans="1:16" ht="56.4" x14ac:dyDescent="0.35">
      <c r="A8" s="4"/>
      <c r="B8" s="5" t="s">
        <v>40</v>
      </c>
      <c r="C8" s="6" t="s">
        <v>34</v>
      </c>
      <c r="D8" s="6" t="s">
        <v>18</v>
      </c>
      <c r="E8" s="7">
        <v>1800</v>
      </c>
      <c r="F8" s="7">
        <v>1440</v>
      </c>
      <c r="G8" s="6" t="str">
        <f t="shared" si="0"/>
        <v>NO APLICA</v>
      </c>
      <c r="H8" s="13" t="str">
        <f t="shared" si="1"/>
        <v>NO APLICA</v>
      </c>
      <c r="I8" s="7" t="str">
        <f t="shared" si="2"/>
        <v>NO APLICA</v>
      </c>
      <c r="J8" s="8" t="str">
        <f t="shared" si="3"/>
        <v>NO APLICA</v>
      </c>
      <c r="K8" s="8">
        <f t="shared" si="4"/>
        <v>100</v>
      </c>
      <c r="L8" s="9"/>
      <c r="M8" s="10"/>
      <c r="O8" s="11"/>
      <c r="P8" s="12"/>
    </row>
    <row r="9" spans="1:16" ht="84.6" x14ac:dyDescent="0.35">
      <c r="A9" s="4"/>
      <c r="B9" s="5" t="s">
        <v>41</v>
      </c>
      <c r="C9" s="6" t="s">
        <v>32</v>
      </c>
      <c r="D9" s="6" t="s">
        <v>18</v>
      </c>
      <c r="E9" s="7">
        <v>3100</v>
      </c>
      <c r="F9" s="7">
        <v>2170</v>
      </c>
      <c r="G9" s="7">
        <f t="shared" si="0"/>
        <v>2480</v>
      </c>
      <c r="H9" s="8">
        <f t="shared" si="1"/>
        <v>2520</v>
      </c>
      <c r="I9" s="7">
        <f t="shared" si="2"/>
        <v>310</v>
      </c>
      <c r="J9" s="8">
        <f t="shared" si="3"/>
        <v>210</v>
      </c>
      <c r="K9" s="8">
        <f t="shared" si="4"/>
        <v>100</v>
      </c>
      <c r="L9" s="9"/>
      <c r="M9" s="10"/>
      <c r="O9" s="11"/>
      <c r="P9" s="12"/>
    </row>
    <row r="10" spans="1:16" ht="28.8" x14ac:dyDescent="0.35">
      <c r="A10" s="4"/>
      <c r="B10" s="5" t="s">
        <v>42</v>
      </c>
      <c r="C10" s="6" t="s">
        <v>32</v>
      </c>
      <c r="D10" s="6" t="s">
        <v>18</v>
      </c>
      <c r="E10" s="7">
        <v>3000</v>
      </c>
      <c r="F10" s="7">
        <v>2100</v>
      </c>
      <c r="G10" s="7">
        <f t="shared" si="0"/>
        <v>2400</v>
      </c>
      <c r="H10" s="8">
        <f t="shared" si="1"/>
        <v>2400</v>
      </c>
      <c r="I10" s="7">
        <f t="shared" si="2"/>
        <v>300</v>
      </c>
      <c r="J10" s="8">
        <f t="shared" si="3"/>
        <v>200</v>
      </c>
      <c r="K10" s="8">
        <f t="shared" si="4"/>
        <v>100</v>
      </c>
      <c r="L10" s="9"/>
      <c r="M10" s="10"/>
      <c r="O10" s="11"/>
      <c r="P10" s="12"/>
    </row>
    <row r="11" spans="1:16" ht="28.8" x14ac:dyDescent="0.35">
      <c r="A11" s="4"/>
      <c r="B11" s="5" t="s">
        <v>43</v>
      </c>
      <c r="C11" s="6" t="s">
        <v>34</v>
      </c>
      <c r="D11" s="6" t="s">
        <v>18</v>
      </c>
      <c r="E11" s="7">
        <v>3000</v>
      </c>
      <c r="F11" s="7">
        <v>2100</v>
      </c>
      <c r="G11" s="7">
        <f t="shared" si="0"/>
        <v>2400</v>
      </c>
      <c r="H11" s="8">
        <f t="shared" si="1"/>
        <v>2400</v>
      </c>
      <c r="I11" s="7">
        <f t="shared" si="2"/>
        <v>300</v>
      </c>
      <c r="J11" s="8">
        <f t="shared" si="3"/>
        <v>200</v>
      </c>
      <c r="K11" s="8">
        <f t="shared" si="4"/>
        <v>100</v>
      </c>
      <c r="L11" s="9"/>
      <c r="M11" s="10"/>
      <c r="O11" s="11"/>
      <c r="P11" s="12"/>
    </row>
    <row r="12" spans="1:16" ht="56.4" x14ac:dyDescent="0.35">
      <c r="A12" s="4"/>
      <c r="B12" s="5" t="s">
        <v>44</v>
      </c>
      <c r="C12" s="6" t="s">
        <v>34</v>
      </c>
      <c r="D12" s="6" t="s">
        <v>18</v>
      </c>
      <c r="E12" s="7">
        <v>2500</v>
      </c>
      <c r="F12" s="7">
        <v>1750</v>
      </c>
      <c r="G12" s="7">
        <f t="shared" si="0"/>
        <v>2000</v>
      </c>
      <c r="H12" s="13" t="str">
        <f t="shared" si="1"/>
        <v>NO APLICA</v>
      </c>
      <c r="I12" s="7">
        <f t="shared" si="2"/>
        <v>250</v>
      </c>
      <c r="J12" s="8" t="str">
        <f t="shared" si="3"/>
        <v>NO APLICA</v>
      </c>
      <c r="K12" s="8">
        <f t="shared" si="4"/>
        <v>100</v>
      </c>
      <c r="L12" s="9"/>
      <c r="M12" s="10"/>
      <c r="O12" s="11"/>
      <c r="P12" s="12"/>
    </row>
    <row r="13" spans="1:16" ht="28.8" x14ac:dyDescent="0.35">
      <c r="A13" s="4"/>
      <c r="B13" s="5" t="s">
        <v>45</v>
      </c>
      <c r="C13" s="6" t="s">
        <v>34</v>
      </c>
      <c r="D13" s="6" t="s">
        <v>18</v>
      </c>
      <c r="E13" s="7">
        <v>3500</v>
      </c>
      <c r="F13" s="7">
        <v>2450</v>
      </c>
      <c r="G13" s="7">
        <f t="shared" si="0"/>
        <v>2800</v>
      </c>
      <c r="H13" s="8">
        <f t="shared" si="1"/>
        <v>2880</v>
      </c>
      <c r="I13" s="7">
        <f t="shared" si="2"/>
        <v>350</v>
      </c>
      <c r="J13" s="8">
        <f t="shared" si="3"/>
        <v>240</v>
      </c>
      <c r="K13" s="8">
        <f t="shared" si="4"/>
        <v>100</v>
      </c>
      <c r="L13" s="9"/>
      <c r="M13" s="10"/>
      <c r="O13" s="11"/>
      <c r="P13" s="12"/>
    </row>
    <row r="14" spans="1:16" ht="28.8" x14ac:dyDescent="0.35">
      <c r="A14" s="4"/>
      <c r="B14" s="5" t="s">
        <v>46</v>
      </c>
      <c r="C14" s="6" t="s">
        <v>47</v>
      </c>
      <c r="D14" s="6" t="s">
        <v>18</v>
      </c>
      <c r="E14" s="7">
        <v>3600</v>
      </c>
      <c r="F14" s="7">
        <v>2880</v>
      </c>
      <c r="G14" s="7">
        <f t="shared" si="0"/>
        <v>2880</v>
      </c>
      <c r="H14" s="8">
        <f t="shared" si="1"/>
        <v>2880</v>
      </c>
      <c r="I14" s="7">
        <f t="shared" si="2"/>
        <v>360</v>
      </c>
      <c r="J14" s="8">
        <f t="shared" si="3"/>
        <v>240</v>
      </c>
      <c r="K14" s="8">
        <f t="shared" si="4"/>
        <v>100</v>
      </c>
      <c r="L14" s="9"/>
      <c r="M14" s="10"/>
      <c r="O14" s="11"/>
      <c r="P14" s="12"/>
    </row>
    <row r="15" spans="1:16" ht="28.8" x14ac:dyDescent="0.35">
      <c r="A15" s="4"/>
      <c r="B15" s="5" t="s">
        <v>48</v>
      </c>
      <c r="C15" s="6" t="s">
        <v>34</v>
      </c>
      <c r="D15" s="6" t="s">
        <v>18</v>
      </c>
      <c r="E15" s="7">
        <v>2600</v>
      </c>
      <c r="F15" s="7">
        <v>1820</v>
      </c>
      <c r="G15" s="7">
        <f t="shared" si="0"/>
        <v>2080</v>
      </c>
      <c r="H15" s="13" t="str">
        <f t="shared" si="1"/>
        <v>NO APLICA</v>
      </c>
      <c r="I15" s="7">
        <f t="shared" si="2"/>
        <v>260</v>
      </c>
      <c r="J15" s="8" t="str">
        <f t="shared" si="3"/>
        <v>NO APLICA</v>
      </c>
      <c r="K15" s="8">
        <f t="shared" si="4"/>
        <v>100</v>
      </c>
      <c r="L15" s="9"/>
      <c r="M15" s="10"/>
      <c r="O15" s="11"/>
      <c r="P15" s="12"/>
    </row>
    <row r="16" spans="1:16" ht="56.4" x14ac:dyDescent="0.35">
      <c r="A16" s="4"/>
      <c r="B16" s="5" t="s">
        <v>49</v>
      </c>
      <c r="C16" s="6" t="s">
        <v>32</v>
      </c>
      <c r="D16" s="6" t="s">
        <v>18</v>
      </c>
      <c r="E16" s="7">
        <v>5500</v>
      </c>
      <c r="F16" s="7">
        <v>3850</v>
      </c>
      <c r="G16" s="7">
        <f t="shared" si="0"/>
        <v>4400</v>
      </c>
      <c r="H16" s="8">
        <f t="shared" si="1"/>
        <v>4440</v>
      </c>
      <c r="I16" s="7">
        <f t="shared" si="2"/>
        <v>550</v>
      </c>
      <c r="J16" s="8">
        <f t="shared" si="3"/>
        <v>370</v>
      </c>
      <c r="K16" s="8">
        <f t="shared" si="4"/>
        <v>110</v>
      </c>
      <c r="L16" s="9"/>
      <c r="M16" s="10"/>
      <c r="O16" s="11"/>
      <c r="P16" s="12"/>
    </row>
    <row r="17" spans="1:16" ht="28.8" x14ac:dyDescent="0.35">
      <c r="A17" s="4"/>
      <c r="B17" s="5" t="s">
        <v>50</v>
      </c>
      <c r="C17" s="6" t="s">
        <v>51</v>
      </c>
      <c r="D17" s="6" t="s">
        <v>18</v>
      </c>
      <c r="E17" s="7">
        <v>5500</v>
      </c>
      <c r="F17" s="7">
        <v>3850</v>
      </c>
      <c r="G17" s="7">
        <f t="shared" si="0"/>
        <v>4400</v>
      </c>
      <c r="H17" s="8">
        <f t="shared" si="1"/>
        <v>4440</v>
      </c>
      <c r="I17" s="7">
        <f t="shared" si="2"/>
        <v>550</v>
      </c>
      <c r="J17" s="8">
        <f t="shared" si="3"/>
        <v>370</v>
      </c>
      <c r="K17" s="8">
        <f t="shared" si="4"/>
        <v>110</v>
      </c>
      <c r="L17" s="9"/>
      <c r="M17" s="10"/>
      <c r="O17" s="11"/>
      <c r="P17" s="12"/>
    </row>
    <row r="18" spans="1:16" ht="28.8" x14ac:dyDescent="0.35">
      <c r="A18" s="4"/>
      <c r="B18" s="5" t="s">
        <v>52</v>
      </c>
      <c r="C18" s="6" t="s">
        <v>34</v>
      </c>
      <c r="D18" s="6" t="s">
        <v>18</v>
      </c>
      <c r="E18" s="7">
        <v>1800</v>
      </c>
      <c r="F18" s="7">
        <v>1260</v>
      </c>
      <c r="G18" s="6" t="str">
        <f t="shared" si="0"/>
        <v>NO APLICA</v>
      </c>
      <c r="H18" s="13" t="str">
        <f t="shared" si="1"/>
        <v>NO APLICA</v>
      </c>
      <c r="I18" s="7" t="str">
        <f t="shared" si="2"/>
        <v>NO APLICA</v>
      </c>
      <c r="J18" s="8" t="str">
        <f t="shared" si="3"/>
        <v>NO APLICA</v>
      </c>
      <c r="K18" s="8">
        <f t="shared" si="4"/>
        <v>100</v>
      </c>
      <c r="L18" s="9"/>
      <c r="M18" s="10"/>
      <c r="O18" s="11"/>
      <c r="P18" s="12"/>
    </row>
    <row r="19" spans="1:16" ht="28.8" x14ac:dyDescent="0.35">
      <c r="A19" s="4"/>
      <c r="B19" s="5" t="s">
        <v>53</v>
      </c>
      <c r="C19" s="6" t="s">
        <v>34</v>
      </c>
      <c r="D19" s="6" t="s">
        <v>18</v>
      </c>
      <c r="E19" s="7">
        <v>2200</v>
      </c>
      <c r="F19" s="7">
        <v>1540</v>
      </c>
      <c r="G19" s="7">
        <f t="shared" si="0"/>
        <v>1760</v>
      </c>
      <c r="H19" s="13" t="str">
        <f t="shared" si="1"/>
        <v>NO APLICA</v>
      </c>
      <c r="I19" s="7">
        <f t="shared" si="2"/>
        <v>220</v>
      </c>
      <c r="J19" s="8" t="str">
        <f t="shared" si="3"/>
        <v>NO APLICA</v>
      </c>
      <c r="K19" s="8">
        <f t="shared" si="4"/>
        <v>100</v>
      </c>
      <c r="L19" s="9"/>
      <c r="M19" s="10"/>
      <c r="O19" s="11"/>
      <c r="P19" s="12"/>
    </row>
    <row r="20" spans="1:16" ht="56.4" x14ac:dyDescent="0.35">
      <c r="A20" s="4"/>
      <c r="B20" s="5" t="s">
        <v>54</v>
      </c>
      <c r="C20" s="6" t="s">
        <v>34</v>
      </c>
      <c r="D20" s="6" t="s">
        <v>18</v>
      </c>
      <c r="E20" s="7">
        <v>2300</v>
      </c>
      <c r="F20" s="7">
        <v>1610</v>
      </c>
      <c r="G20" s="7">
        <f t="shared" si="0"/>
        <v>1840</v>
      </c>
      <c r="H20" s="13" t="str">
        <f t="shared" si="1"/>
        <v>NO APLICA</v>
      </c>
      <c r="I20" s="7">
        <f t="shared" si="2"/>
        <v>230</v>
      </c>
      <c r="J20" s="8" t="str">
        <f t="shared" si="3"/>
        <v>NO APLICA</v>
      </c>
      <c r="K20" s="8">
        <f t="shared" si="4"/>
        <v>100</v>
      </c>
      <c r="L20" s="9"/>
      <c r="M20" s="10"/>
      <c r="O20" s="11"/>
      <c r="P20" s="12"/>
    </row>
    <row r="21" spans="1:16" ht="56.4" x14ac:dyDescent="0.35">
      <c r="A21" s="4"/>
      <c r="B21" s="5" t="s">
        <v>55</v>
      </c>
      <c r="C21" s="6" t="s">
        <v>34</v>
      </c>
      <c r="D21" s="6" t="s">
        <v>18</v>
      </c>
      <c r="E21" s="7">
        <v>2300</v>
      </c>
      <c r="F21" s="7">
        <v>1610</v>
      </c>
      <c r="G21" s="7">
        <f t="shared" si="0"/>
        <v>1840</v>
      </c>
      <c r="H21" s="13" t="str">
        <f t="shared" si="1"/>
        <v>NO APLICA</v>
      </c>
      <c r="I21" s="7">
        <f t="shared" si="2"/>
        <v>230</v>
      </c>
      <c r="J21" s="8" t="str">
        <f t="shared" si="3"/>
        <v>NO APLICA</v>
      </c>
      <c r="K21" s="8">
        <f t="shared" si="4"/>
        <v>100</v>
      </c>
      <c r="L21" s="9"/>
      <c r="M21" s="10"/>
      <c r="O21" s="11"/>
      <c r="P21" s="12"/>
    </row>
    <row r="22" spans="1:16" ht="56.4" x14ac:dyDescent="0.35">
      <c r="A22" s="4"/>
      <c r="B22" s="5" t="s">
        <v>56</v>
      </c>
      <c r="C22" s="6" t="s">
        <v>34</v>
      </c>
      <c r="D22" s="6" t="s">
        <v>18</v>
      </c>
      <c r="E22" s="7">
        <v>6000</v>
      </c>
      <c r="F22" s="7">
        <v>4200</v>
      </c>
      <c r="G22" s="7">
        <f t="shared" si="0"/>
        <v>4800</v>
      </c>
      <c r="H22" s="8">
        <f t="shared" si="1"/>
        <v>4800</v>
      </c>
      <c r="I22" s="7">
        <f t="shared" si="2"/>
        <v>600</v>
      </c>
      <c r="J22" s="8">
        <f t="shared" si="3"/>
        <v>400</v>
      </c>
      <c r="K22" s="8">
        <f t="shared" si="4"/>
        <v>120</v>
      </c>
      <c r="L22" s="9"/>
      <c r="M22" s="10"/>
      <c r="O22" s="11"/>
      <c r="P22" s="12"/>
    </row>
    <row r="23" spans="1:16" ht="28.8" x14ac:dyDescent="0.35">
      <c r="A23" s="4"/>
      <c r="B23" s="5" t="s">
        <v>57</v>
      </c>
      <c r="C23" s="6" t="s">
        <v>34</v>
      </c>
      <c r="D23" s="6" t="s">
        <v>18</v>
      </c>
      <c r="E23" s="7">
        <v>3500</v>
      </c>
      <c r="F23" s="7">
        <v>2450</v>
      </c>
      <c r="G23" s="7">
        <f t="shared" si="0"/>
        <v>2800</v>
      </c>
      <c r="H23" s="8">
        <f t="shared" si="1"/>
        <v>2880</v>
      </c>
      <c r="I23" s="7">
        <f t="shared" si="2"/>
        <v>350</v>
      </c>
      <c r="J23" s="8">
        <f t="shared" si="3"/>
        <v>240</v>
      </c>
      <c r="K23" s="8">
        <f t="shared" si="4"/>
        <v>100</v>
      </c>
      <c r="L23" s="9"/>
      <c r="M23" s="10"/>
      <c r="O23" s="11"/>
      <c r="P23" s="12"/>
    </row>
    <row r="24" spans="1:16" ht="28.8" x14ac:dyDescent="0.35">
      <c r="A24" s="4"/>
      <c r="B24" s="5" t="s">
        <v>58</v>
      </c>
      <c r="C24" s="6" t="s">
        <v>34</v>
      </c>
      <c r="D24" s="6" t="s">
        <v>18</v>
      </c>
      <c r="E24" s="7">
        <v>5000</v>
      </c>
      <c r="F24" s="7">
        <v>3500</v>
      </c>
      <c r="G24" s="7">
        <f t="shared" si="0"/>
        <v>4000</v>
      </c>
      <c r="H24" s="8">
        <f t="shared" si="1"/>
        <v>4080</v>
      </c>
      <c r="I24" s="7">
        <f t="shared" si="2"/>
        <v>500</v>
      </c>
      <c r="J24" s="8">
        <f t="shared" si="3"/>
        <v>340</v>
      </c>
      <c r="K24" s="8">
        <f t="shared" si="4"/>
        <v>100</v>
      </c>
      <c r="L24" s="9"/>
      <c r="M24" s="10"/>
      <c r="O24" s="11"/>
      <c r="P24" s="12"/>
    </row>
    <row r="25" spans="1:16" ht="28.8" x14ac:dyDescent="0.35">
      <c r="A25" s="4"/>
      <c r="B25" s="5" t="s">
        <v>59</v>
      </c>
      <c r="C25" s="6" t="s">
        <v>34</v>
      </c>
      <c r="D25" s="6" t="s">
        <v>18</v>
      </c>
      <c r="E25" s="7">
        <v>3600</v>
      </c>
      <c r="F25" s="7">
        <v>2520</v>
      </c>
      <c r="G25" s="7">
        <f t="shared" si="0"/>
        <v>2880</v>
      </c>
      <c r="H25" s="8">
        <f t="shared" si="1"/>
        <v>2880</v>
      </c>
      <c r="I25" s="7">
        <f t="shared" si="2"/>
        <v>360</v>
      </c>
      <c r="J25" s="8">
        <f t="shared" si="3"/>
        <v>240</v>
      </c>
      <c r="K25" s="8">
        <f t="shared" si="4"/>
        <v>100</v>
      </c>
      <c r="L25" s="9"/>
      <c r="M25" s="10"/>
      <c r="O25" s="11"/>
      <c r="P25" s="12"/>
    </row>
    <row r="26" spans="1:16" ht="56.4" x14ac:dyDescent="0.35">
      <c r="A26" s="4"/>
      <c r="B26" s="5" t="s">
        <v>60</v>
      </c>
      <c r="C26" s="6" t="s">
        <v>34</v>
      </c>
      <c r="D26" s="6" t="s">
        <v>18</v>
      </c>
      <c r="E26" s="7">
        <v>3000</v>
      </c>
      <c r="F26" s="7">
        <v>2100</v>
      </c>
      <c r="G26" s="7">
        <f t="shared" si="0"/>
        <v>2400</v>
      </c>
      <c r="H26" s="8">
        <f t="shared" si="1"/>
        <v>2400</v>
      </c>
      <c r="I26" s="7">
        <f t="shared" si="2"/>
        <v>300</v>
      </c>
      <c r="J26" s="8">
        <f t="shared" si="3"/>
        <v>200</v>
      </c>
      <c r="K26" s="8">
        <f t="shared" si="4"/>
        <v>100</v>
      </c>
      <c r="L26" s="9"/>
      <c r="M26" s="10"/>
      <c r="O26" s="11"/>
      <c r="P26" s="12"/>
    </row>
    <row r="27" spans="1:16" ht="28.8" x14ac:dyDescent="0.35">
      <c r="A27" s="4"/>
      <c r="B27" s="5" t="s">
        <v>61</v>
      </c>
      <c r="C27" s="6" t="s">
        <v>62</v>
      </c>
      <c r="D27" s="6" t="s">
        <v>18</v>
      </c>
      <c r="E27" s="7">
        <v>2600</v>
      </c>
      <c r="F27" s="7">
        <v>1820</v>
      </c>
      <c r="G27" s="7">
        <f t="shared" si="0"/>
        <v>2080</v>
      </c>
      <c r="H27" s="13" t="str">
        <f t="shared" si="1"/>
        <v>NO APLICA</v>
      </c>
      <c r="I27" s="7">
        <f t="shared" si="2"/>
        <v>260</v>
      </c>
      <c r="J27" s="8" t="str">
        <f t="shared" si="3"/>
        <v>NO APLICA</v>
      </c>
      <c r="K27" s="8">
        <f t="shared" si="4"/>
        <v>100</v>
      </c>
      <c r="L27" s="9"/>
      <c r="M27" s="10"/>
      <c r="O27" s="11"/>
      <c r="P27" s="12"/>
    </row>
    <row r="28" spans="1:16" ht="56.4" x14ac:dyDescent="0.35">
      <c r="A28" s="4"/>
      <c r="B28" s="5" t="s">
        <v>63</v>
      </c>
      <c r="C28" s="6" t="s">
        <v>32</v>
      </c>
      <c r="D28" s="6" t="s">
        <v>18</v>
      </c>
      <c r="E28" s="7">
        <v>3000</v>
      </c>
      <c r="F28" s="7">
        <v>2100</v>
      </c>
      <c r="G28" s="7">
        <f t="shared" si="0"/>
        <v>2400</v>
      </c>
      <c r="H28" s="8">
        <f t="shared" si="1"/>
        <v>2400</v>
      </c>
      <c r="I28" s="7">
        <f t="shared" si="2"/>
        <v>300</v>
      </c>
      <c r="J28" s="8">
        <f t="shared" si="3"/>
        <v>200</v>
      </c>
      <c r="K28" s="8">
        <f t="shared" si="4"/>
        <v>100</v>
      </c>
      <c r="L28" s="9"/>
      <c r="M28" s="10"/>
      <c r="O28" s="11"/>
      <c r="P28" s="12"/>
    </row>
    <row r="29" spans="1:16" ht="56.4" x14ac:dyDescent="0.35">
      <c r="A29" s="4"/>
      <c r="B29" s="5" t="s">
        <v>64</v>
      </c>
      <c r="C29" s="6" t="s">
        <v>65</v>
      </c>
      <c r="D29" s="6" t="s">
        <v>18</v>
      </c>
      <c r="E29" s="7">
        <v>5000</v>
      </c>
      <c r="F29" s="7">
        <v>3500</v>
      </c>
      <c r="G29" s="7">
        <f t="shared" si="0"/>
        <v>4000</v>
      </c>
      <c r="H29" s="8">
        <f t="shared" si="1"/>
        <v>4080</v>
      </c>
      <c r="I29" s="7">
        <f t="shared" si="2"/>
        <v>500</v>
      </c>
      <c r="J29" s="8">
        <f t="shared" si="3"/>
        <v>340</v>
      </c>
      <c r="K29" s="8">
        <f t="shared" si="4"/>
        <v>100</v>
      </c>
      <c r="L29" s="9"/>
      <c r="M29" s="10"/>
      <c r="O29" s="11"/>
      <c r="P29" s="12"/>
    </row>
    <row r="30" spans="1:16" ht="56.4" x14ac:dyDescent="0.35">
      <c r="A30" s="4"/>
      <c r="B30" s="5" t="s">
        <v>66</v>
      </c>
      <c r="C30" s="6" t="s">
        <v>65</v>
      </c>
      <c r="D30" s="6" t="s">
        <v>18</v>
      </c>
      <c r="E30" s="7">
        <v>5600</v>
      </c>
      <c r="F30" s="7">
        <v>3920</v>
      </c>
      <c r="G30" s="7">
        <f t="shared" si="0"/>
        <v>4480</v>
      </c>
      <c r="H30" s="8">
        <f t="shared" si="1"/>
        <v>4560</v>
      </c>
      <c r="I30" s="7">
        <f t="shared" si="2"/>
        <v>560</v>
      </c>
      <c r="J30" s="8">
        <f t="shared" si="3"/>
        <v>380</v>
      </c>
      <c r="K30" s="8">
        <f t="shared" si="4"/>
        <v>110</v>
      </c>
      <c r="L30" s="9"/>
      <c r="M30" s="10"/>
      <c r="O30" s="11"/>
      <c r="P30" s="12"/>
    </row>
    <row r="31" spans="1:16" ht="56.4" x14ac:dyDescent="0.35">
      <c r="A31" s="4"/>
      <c r="B31" s="5" t="s">
        <v>67</v>
      </c>
      <c r="C31" s="6" t="s">
        <v>65</v>
      </c>
      <c r="D31" s="6" t="s">
        <v>18</v>
      </c>
      <c r="E31" s="7">
        <v>6300</v>
      </c>
      <c r="F31" s="7">
        <v>4410</v>
      </c>
      <c r="G31" s="7">
        <f t="shared" si="0"/>
        <v>5040</v>
      </c>
      <c r="H31" s="8">
        <f t="shared" si="1"/>
        <v>5040</v>
      </c>
      <c r="I31" s="7">
        <f t="shared" si="2"/>
        <v>630</v>
      </c>
      <c r="J31" s="8">
        <f t="shared" si="3"/>
        <v>420</v>
      </c>
      <c r="K31" s="8">
        <f t="shared" si="4"/>
        <v>130</v>
      </c>
      <c r="L31" s="9"/>
      <c r="M31" s="10"/>
      <c r="O31" s="11"/>
      <c r="P31" s="12"/>
    </row>
    <row r="32" spans="1:16" ht="28.8" x14ac:dyDescent="0.35">
      <c r="A32" s="4"/>
      <c r="B32" s="5" t="s">
        <v>68</v>
      </c>
      <c r="C32" s="6" t="s">
        <v>34</v>
      </c>
      <c r="D32" s="6" t="s">
        <v>18</v>
      </c>
      <c r="E32" s="7">
        <v>3000</v>
      </c>
      <c r="F32" s="7">
        <v>2100</v>
      </c>
      <c r="G32" s="7">
        <f t="shared" si="0"/>
        <v>2400</v>
      </c>
      <c r="H32" s="8">
        <f t="shared" si="1"/>
        <v>2400</v>
      </c>
      <c r="I32" s="7">
        <f t="shared" si="2"/>
        <v>300</v>
      </c>
      <c r="J32" s="8">
        <f t="shared" si="3"/>
        <v>200</v>
      </c>
      <c r="K32" s="8">
        <f t="shared" si="4"/>
        <v>100</v>
      </c>
      <c r="L32" s="9"/>
      <c r="M32" s="10"/>
      <c r="O32" s="11"/>
      <c r="P32" s="12"/>
    </row>
    <row r="33" spans="1:16" ht="28.8" x14ac:dyDescent="0.35">
      <c r="A33" s="4"/>
      <c r="B33" s="5" t="s">
        <v>69</v>
      </c>
      <c r="C33" s="6" t="s">
        <v>70</v>
      </c>
      <c r="D33" s="6" t="s">
        <v>18</v>
      </c>
      <c r="E33" s="7">
        <v>2300</v>
      </c>
      <c r="F33" s="7">
        <v>1610</v>
      </c>
      <c r="G33" s="7">
        <f t="shared" si="0"/>
        <v>1840</v>
      </c>
      <c r="H33" s="13" t="str">
        <f t="shared" si="1"/>
        <v>NO APLICA</v>
      </c>
      <c r="I33" s="7">
        <f t="shared" si="2"/>
        <v>230</v>
      </c>
      <c r="J33" s="8" t="str">
        <f t="shared" si="3"/>
        <v>NO APLICA</v>
      </c>
      <c r="K33" s="8">
        <f t="shared" si="4"/>
        <v>100</v>
      </c>
      <c r="L33" s="9"/>
      <c r="M33" s="10"/>
      <c r="O33" s="11"/>
      <c r="P33" s="12"/>
    </row>
    <row r="34" spans="1:16" ht="28.8" x14ac:dyDescent="0.35">
      <c r="A34" s="4"/>
      <c r="B34" s="5" t="s">
        <v>71</v>
      </c>
      <c r="C34" s="6" t="s">
        <v>72</v>
      </c>
      <c r="D34" s="6" t="s">
        <v>18</v>
      </c>
      <c r="E34" s="7">
        <v>1200</v>
      </c>
      <c r="F34" s="7">
        <v>960</v>
      </c>
      <c r="G34" s="6" t="str">
        <f t="shared" ref="G34:G65" si="5">IF(I34="NO APLICA","NO APLICA",I34*8)</f>
        <v>NO APLICA</v>
      </c>
      <c r="H34" s="13" t="str">
        <f t="shared" ref="H34:H65" si="6">IF(J34="NO APLICA","NO APLICA",J34*12)</f>
        <v>NO APLICA</v>
      </c>
      <c r="I34" s="7" t="str">
        <f t="shared" ref="I34:I65" si="7">IF(E34&lt;2000,"NO APLICA",MAX(CEILING((E34*0.8)/8,10),100))</f>
        <v>NO APLICA</v>
      </c>
      <c r="J34" s="8" t="str">
        <f t="shared" ref="J34:J65" si="8">IF(E34&lt;3000,"NO APLICA",MAX(CEILING((E34*0.8)/12,10),100))</f>
        <v>NO APLICA</v>
      </c>
      <c r="K34" s="8">
        <f t="shared" ref="K34:K65" si="9">MAX(CEILING(E34/52,10),100)</f>
        <v>100</v>
      </c>
      <c r="L34" s="9"/>
      <c r="M34" s="10"/>
      <c r="O34" s="11"/>
      <c r="P34" s="12"/>
    </row>
    <row r="35" spans="1:16" ht="28.8" x14ac:dyDescent="0.35">
      <c r="A35" s="4"/>
      <c r="B35" s="5" t="s">
        <v>73</v>
      </c>
      <c r="C35" s="6" t="s">
        <v>70</v>
      </c>
      <c r="D35" s="6" t="s">
        <v>18</v>
      </c>
      <c r="E35" s="7">
        <v>2200</v>
      </c>
      <c r="F35" s="7">
        <v>1540</v>
      </c>
      <c r="G35" s="7">
        <f t="shared" si="5"/>
        <v>1760</v>
      </c>
      <c r="H35" s="13" t="str">
        <f t="shared" si="6"/>
        <v>NO APLICA</v>
      </c>
      <c r="I35" s="7">
        <f t="shared" si="7"/>
        <v>220</v>
      </c>
      <c r="J35" s="8" t="str">
        <f t="shared" si="8"/>
        <v>NO APLICA</v>
      </c>
      <c r="K35" s="8">
        <f t="shared" si="9"/>
        <v>100</v>
      </c>
      <c r="L35" s="9"/>
      <c r="M35" s="10"/>
      <c r="O35" s="11"/>
      <c r="P35" s="12"/>
    </row>
    <row r="36" spans="1:16" ht="56.4" x14ac:dyDescent="0.35">
      <c r="A36" s="4"/>
      <c r="B36" s="5" t="s">
        <v>74</v>
      </c>
      <c r="C36" s="6" t="s">
        <v>38</v>
      </c>
      <c r="D36" s="6" t="s">
        <v>18</v>
      </c>
      <c r="E36" s="7">
        <v>2400</v>
      </c>
      <c r="F36" s="7">
        <v>1680</v>
      </c>
      <c r="G36" s="7">
        <f t="shared" si="5"/>
        <v>1920</v>
      </c>
      <c r="H36" s="13" t="str">
        <f t="shared" si="6"/>
        <v>NO APLICA</v>
      </c>
      <c r="I36" s="7">
        <f t="shared" si="7"/>
        <v>240</v>
      </c>
      <c r="J36" s="8" t="str">
        <f t="shared" si="8"/>
        <v>NO APLICA</v>
      </c>
      <c r="K36" s="8">
        <f t="shared" si="9"/>
        <v>100</v>
      </c>
      <c r="L36" s="9"/>
      <c r="M36" s="10"/>
      <c r="O36" s="11"/>
      <c r="P36" s="12"/>
    </row>
    <row r="37" spans="1:16" ht="28.8" x14ac:dyDescent="0.35">
      <c r="A37" s="4"/>
      <c r="B37" s="5" t="s">
        <v>75</v>
      </c>
      <c r="C37" s="6" t="s">
        <v>76</v>
      </c>
      <c r="D37" s="6" t="s">
        <v>18</v>
      </c>
      <c r="E37" s="7">
        <v>2300</v>
      </c>
      <c r="F37" s="7">
        <v>1610</v>
      </c>
      <c r="G37" s="7">
        <f t="shared" si="5"/>
        <v>1840</v>
      </c>
      <c r="H37" s="13" t="str">
        <f t="shared" si="6"/>
        <v>NO APLICA</v>
      </c>
      <c r="I37" s="7">
        <f t="shared" si="7"/>
        <v>230</v>
      </c>
      <c r="J37" s="8" t="str">
        <f t="shared" si="8"/>
        <v>NO APLICA</v>
      </c>
      <c r="K37" s="8">
        <f t="shared" si="9"/>
        <v>100</v>
      </c>
      <c r="L37" s="9"/>
      <c r="M37" s="10"/>
      <c r="O37" s="11"/>
      <c r="P37" s="12"/>
    </row>
    <row r="38" spans="1:16" ht="28.8" x14ac:dyDescent="0.35">
      <c r="A38" s="4"/>
      <c r="B38" s="5" t="s">
        <v>75</v>
      </c>
      <c r="C38" s="6" t="s">
        <v>77</v>
      </c>
      <c r="D38" s="6" t="s">
        <v>18</v>
      </c>
      <c r="E38" s="7">
        <v>2300</v>
      </c>
      <c r="F38" s="7">
        <v>1610</v>
      </c>
      <c r="G38" s="7">
        <f t="shared" si="5"/>
        <v>1840</v>
      </c>
      <c r="H38" s="13" t="str">
        <f t="shared" si="6"/>
        <v>NO APLICA</v>
      </c>
      <c r="I38" s="7">
        <f t="shared" si="7"/>
        <v>230</v>
      </c>
      <c r="J38" s="8" t="str">
        <f t="shared" si="8"/>
        <v>NO APLICA</v>
      </c>
      <c r="K38" s="8">
        <f t="shared" si="9"/>
        <v>100</v>
      </c>
      <c r="L38" s="9"/>
      <c r="M38" s="10"/>
      <c r="O38" s="11"/>
      <c r="P38" s="12"/>
    </row>
    <row r="39" spans="1:16" ht="56.4" x14ac:dyDescent="0.35">
      <c r="A39" s="4"/>
      <c r="B39" s="5" t="s">
        <v>78</v>
      </c>
      <c r="C39" s="6" t="s">
        <v>77</v>
      </c>
      <c r="D39" s="6" t="s">
        <v>18</v>
      </c>
      <c r="E39" s="7">
        <v>2600</v>
      </c>
      <c r="F39" s="7">
        <v>1820</v>
      </c>
      <c r="G39" s="7">
        <f t="shared" si="5"/>
        <v>2080</v>
      </c>
      <c r="H39" s="13" t="str">
        <f t="shared" si="6"/>
        <v>NO APLICA</v>
      </c>
      <c r="I39" s="7">
        <f t="shared" si="7"/>
        <v>260</v>
      </c>
      <c r="J39" s="8" t="str">
        <f t="shared" si="8"/>
        <v>NO APLICA</v>
      </c>
      <c r="K39" s="8">
        <f t="shared" si="9"/>
        <v>100</v>
      </c>
      <c r="L39" s="9"/>
      <c r="M39" s="10"/>
      <c r="O39" s="11"/>
      <c r="P39" s="12"/>
    </row>
    <row r="40" spans="1:16" ht="28.8" x14ac:dyDescent="0.35">
      <c r="A40" s="4"/>
      <c r="B40" s="5" t="s">
        <v>79</v>
      </c>
      <c r="C40" s="6" t="s">
        <v>76</v>
      </c>
      <c r="D40" s="6" t="s">
        <v>18</v>
      </c>
      <c r="E40" s="7">
        <v>1300</v>
      </c>
      <c r="F40" s="7">
        <v>910</v>
      </c>
      <c r="G40" s="6" t="str">
        <f t="shared" si="5"/>
        <v>NO APLICA</v>
      </c>
      <c r="H40" s="13" t="str">
        <f t="shared" si="6"/>
        <v>NO APLICA</v>
      </c>
      <c r="I40" s="7" t="str">
        <f t="shared" si="7"/>
        <v>NO APLICA</v>
      </c>
      <c r="J40" s="8" t="str">
        <f t="shared" si="8"/>
        <v>NO APLICA</v>
      </c>
      <c r="K40" s="8">
        <f t="shared" si="9"/>
        <v>100</v>
      </c>
      <c r="L40" s="9"/>
      <c r="M40" s="10"/>
      <c r="O40" s="11"/>
      <c r="P40" s="12"/>
    </row>
    <row r="41" spans="1:16" ht="56.4" x14ac:dyDescent="0.35">
      <c r="A41" s="4"/>
      <c r="B41" s="5" t="s">
        <v>80</v>
      </c>
      <c r="C41" s="6" t="s">
        <v>70</v>
      </c>
      <c r="D41" s="6" t="s">
        <v>18</v>
      </c>
      <c r="E41" s="7">
        <v>3600</v>
      </c>
      <c r="F41" s="7">
        <v>2520</v>
      </c>
      <c r="G41" s="7">
        <f t="shared" si="5"/>
        <v>2880</v>
      </c>
      <c r="H41" s="8">
        <f t="shared" si="6"/>
        <v>2880</v>
      </c>
      <c r="I41" s="7">
        <f t="shared" si="7"/>
        <v>360</v>
      </c>
      <c r="J41" s="8">
        <f t="shared" si="8"/>
        <v>240</v>
      </c>
      <c r="K41" s="8">
        <f t="shared" si="9"/>
        <v>100</v>
      </c>
      <c r="L41" s="9"/>
      <c r="M41" s="10"/>
      <c r="O41" s="11"/>
      <c r="P41" s="12"/>
    </row>
    <row r="42" spans="1:16" ht="56.4" x14ac:dyDescent="0.35">
      <c r="A42" s="4"/>
      <c r="B42" s="5" t="s">
        <v>81</v>
      </c>
      <c r="C42" s="6" t="s">
        <v>70</v>
      </c>
      <c r="D42" s="6" t="s">
        <v>18</v>
      </c>
      <c r="E42" s="7">
        <v>4995</v>
      </c>
      <c r="F42" s="7">
        <v>3500</v>
      </c>
      <c r="G42" s="7">
        <f t="shared" si="5"/>
        <v>4000</v>
      </c>
      <c r="H42" s="8">
        <f t="shared" si="6"/>
        <v>4080</v>
      </c>
      <c r="I42" s="7">
        <f t="shared" si="7"/>
        <v>500</v>
      </c>
      <c r="J42" s="8">
        <f t="shared" si="8"/>
        <v>340</v>
      </c>
      <c r="K42" s="8">
        <f t="shared" si="9"/>
        <v>100</v>
      </c>
      <c r="L42" s="9"/>
      <c r="M42" s="10"/>
      <c r="O42" s="11"/>
      <c r="P42" s="12"/>
    </row>
    <row r="43" spans="1:16" ht="56.4" x14ac:dyDescent="0.35">
      <c r="A43" s="4"/>
      <c r="B43" s="5" t="s">
        <v>82</v>
      </c>
      <c r="C43" s="6" t="s">
        <v>72</v>
      </c>
      <c r="D43" s="6" t="s">
        <v>18</v>
      </c>
      <c r="E43" s="7">
        <v>4000</v>
      </c>
      <c r="F43" s="7">
        <v>2800</v>
      </c>
      <c r="G43" s="7">
        <f t="shared" si="5"/>
        <v>3200</v>
      </c>
      <c r="H43" s="8">
        <f t="shared" si="6"/>
        <v>3240</v>
      </c>
      <c r="I43" s="7">
        <f t="shared" si="7"/>
        <v>400</v>
      </c>
      <c r="J43" s="8">
        <f t="shared" si="8"/>
        <v>270</v>
      </c>
      <c r="K43" s="8">
        <f t="shared" si="9"/>
        <v>100</v>
      </c>
      <c r="L43" s="9"/>
      <c r="M43" s="10"/>
      <c r="O43" s="11"/>
      <c r="P43" s="12"/>
    </row>
    <row r="44" spans="1:16" ht="56.4" x14ac:dyDescent="0.35">
      <c r="A44" s="4"/>
      <c r="B44" s="5" t="s">
        <v>83</v>
      </c>
      <c r="C44" s="6" t="s">
        <v>72</v>
      </c>
      <c r="D44" s="6" t="s">
        <v>18</v>
      </c>
      <c r="E44" s="7">
        <v>5000</v>
      </c>
      <c r="F44" s="7">
        <v>3500</v>
      </c>
      <c r="G44" s="7">
        <f t="shared" si="5"/>
        <v>4000</v>
      </c>
      <c r="H44" s="8">
        <f t="shared" si="6"/>
        <v>4080</v>
      </c>
      <c r="I44" s="7">
        <f t="shared" si="7"/>
        <v>500</v>
      </c>
      <c r="J44" s="8">
        <f t="shared" si="8"/>
        <v>340</v>
      </c>
      <c r="K44" s="8">
        <f t="shared" si="9"/>
        <v>100</v>
      </c>
      <c r="L44" s="9"/>
      <c r="M44" s="10"/>
      <c r="O44" s="11"/>
      <c r="P44" s="12"/>
    </row>
    <row r="45" spans="1:16" ht="56.4" x14ac:dyDescent="0.35">
      <c r="A45" s="4"/>
      <c r="B45" s="5" t="s">
        <v>84</v>
      </c>
      <c r="C45" s="6" t="s">
        <v>70</v>
      </c>
      <c r="D45" s="6" t="s">
        <v>18</v>
      </c>
      <c r="E45" s="7">
        <v>5000</v>
      </c>
      <c r="F45" s="7">
        <v>3500</v>
      </c>
      <c r="G45" s="7">
        <f t="shared" si="5"/>
        <v>4000</v>
      </c>
      <c r="H45" s="8">
        <f t="shared" si="6"/>
        <v>4080</v>
      </c>
      <c r="I45" s="7">
        <f t="shared" si="7"/>
        <v>500</v>
      </c>
      <c r="J45" s="8">
        <f t="shared" si="8"/>
        <v>340</v>
      </c>
      <c r="K45" s="8">
        <f t="shared" si="9"/>
        <v>100</v>
      </c>
      <c r="L45" s="9"/>
      <c r="M45" s="10"/>
      <c r="O45" s="11"/>
      <c r="P45" s="12"/>
    </row>
    <row r="46" spans="1:16" ht="56.4" x14ac:dyDescent="0.35">
      <c r="A46" s="4"/>
      <c r="B46" s="5" t="s">
        <v>85</v>
      </c>
      <c r="C46" s="6" t="s">
        <v>70</v>
      </c>
      <c r="D46" s="6" t="s">
        <v>18</v>
      </c>
      <c r="E46" s="7">
        <v>5500</v>
      </c>
      <c r="F46" s="7">
        <v>3850</v>
      </c>
      <c r="G46" s="7">
        <f t="shared" si="5"/>
        <v>4400</v>
      </c>
      <c r="H46" s="8">
        <f t="shared" si="6"/>
        <v>4440</v>
      </c>
      <c r="I46" s="7">
        <f t="shared" si="7"/>
        <v>550</v>
      </c>
      <c r="J46" s="8">
        <f t="shared" si="8"/>
        <v>370</v>
      </c>
      <c r="K46" s="8">
        <f t="shared" si="9"/>
        <v>110</v>
      </c>
      <c r="L46" s="9"/>
      <c r="M46" s="10"/>
      <c r="O46" s="11"/>
      <c r="P46" s="12"/>
    </row>
    <row r="47" spans="1:16" ht="56.4" x14ac:dyDescent="0.35">
      <c r="A47" s="4"/>
      <c r="B47" s="5" t="s">
        <v>86</v>
      </c>
      <c r="C47" s="6" t="s">
        <v>72</v>
      </c>
      <c r="D47" s="6" t="s">
        <v>18</v>
      </c>
      <c r="E47" s="7">
        <v>5700</v>
      </c>
      <c r="F47" s="7">
        <v>4000</v>
      </c>
      <c r="G47" s="7">
        <f t="shared" si="5"/>
        <v>4560</v>
      </c>
      <c r="H47" s="8">
        <f t="shared" si="6"/>
        <v>4560</v>
      </c>
      <c r="I47" s="7">
        <f t="shared" si="7"/>
        <v>570</v>
      </c>
      <c r="J47" s="8">
        <f t="shared" si="8"/>
        <v>380</v>
      </c>
      <c r="K47" s="8">
        <f t="shared" si="9"/>
        <v>110</v>
      </c>
      <c r="L47" s="9"/>
      <c r="M47" s="10"/>
      <c r="O47" s="11"/>
      <c r="P47" s="12"/>
    </row>
    <row r="48" spans="1:16" ht="56.4" x14ac:dyDescent="0.35">
      <c r="A48" s="4"/>
      <c r="B48" s="5" t="s">
        <v>87</v>
      </c>
      <c r="C48" s="6" t="s">
        <v>72</v>
      </c>
      <c r="D48" s="6" t="s">
        <v>18</v>
      </c>
      <c r="E48" s="7">
        <v>4000</v>
      </c>
      <c r="F48" s="7">
        <v>2800</v>
      </c>
      <c r="G48" s="7">
        <f t="shared" si="5"/>
        <v>3200</v>
      </c>
      <c r="H48" s="8">
        <f t="shared" si="6"/>
        <v>3240</v>
      </c>
      <c r="I48" s="7">
        <f t="shared" si="7"/>
        <v>400</v>
      </c>
      <c r="J48" s="8">
        <f t="shared" si="8"/>
        <v>270</v>
      </c>
      <c r="K48" s="8">
        <f t="shared" si="9"/>
        <v>100</v>
      </c>
      <c r="L48" s="9"/>
      <c r="M48" s="10"/>
      <c r="O48" s="11"/>
      <c r="P48" s="12"/>
    </row>
    <row r="49" spans="1:16" ht="56.4" x14ac:dyDescent="0.35">
      <c r="A49" s="4"/>
      <c r="B49" s="5" t="s">
        <v>88</v>
      </c>
      <c r="C49" s="6" t="s">
        <v>89</v>
      </c>
      <c r="D49" s="6" t="s">
        <v>18</v>
      </c>
      <c r="E49" s="7">
        <v>4200</v>
      </c>
      <c r="F49" s="7">
        <v>2940</v>
      </c>
      <c r="G49" s="7">
        <f t="shared" si="5"/>
        <v>3360</v>
      </c>
      <c r="H49" s="8">
        <f t="shared" si="6"/>
        <v>3360</v>
      </c>
      <c r="I49" s="7">
        <f t="shared" si="7"/>
        <v>420</v>
      </c>
      <c r="J49" s="8">
        <f t="shared" si="8"/>
        <v>280</v>
      </c>
      <c r="K49" s="8">
        <f t="shared" si="9"/>
        <v>100</v>
      </c>
      <c r="L49" s="9"/>
      <c r="M49" s="10"/>
      <c r="O49" s="11"/>
      <c r="P49" s="12"/>
    </row>
    <row r="50" spans="1:16" ht="84.6" x14ac:dyDescent="0.35">
      <c r="A50" s="4"/>
      <c r="B50" s="5" t="s">
        <v>90</v>
      </c>
      <c r="C50" s="6" t="s">
        <v>72</v>
      </c>
      <c r="D50" s="6" t="s">
        <v>18</v>
      </c>
      <c r="E50" s="7">
        <v>3000</v>
      </c>
      <c r="F50" s="7">
        <v>2100</v>
      </c>
      <c r="G50" s="7">
        <f t="shared" si="5"/>
        <v>2400</v>
      </c>
      <c r="H50" s="8">
        <f t="shared" si="6"/>
        <v>2400</v>
      </c>
      <c r="I50" s="7">
        <f t="shared" si="7"/>
        <v>300</v>
      </c>
      <c r="J50" s="8">
        <f t="shared" si="8"/>
        <v>200</v>
      </c>
      <c r="K50" s="8">
        <f t="shared" si="9"/>
        <v>100</v>
      </c>
      <c r="L50" s="9"/>
      <c r="M50" s="10"/>
      <c r="O50" s="11"/>
      <c r="P50" s="12"/>
    </row>
    <row r="51" spans="1:16" ht="56.4" x14ac:dyDescent="0.35">
      <c r="A51" s="4"/>
      <c r="B51" s="5" t="s">
        <v>91</v>
      </c>
      <c r="C51" s="6" t="s">
        <v>72</v>
      </c>
      <c r="D51" s="6" t="s">
        <v>18</v>
      </c>
      <c r="E51" s="7">
        <v>3000</v>
      </c>
      <c r="F51" s="7">
        <v>2100</v>
      </c>
      <c r="G51" s="7">
        <f t="shared" si="5"/>
        <v>2400</v>
      </c>
      <c r="H51" s="8">
        <f t="shared" si="6"/>
        <v>2400</v>
      </c>
      <c r="I51" s="7">
        <f t="shared" si="7"/>
        <v>300</v>
      </c>
      <c r="J51" s="8">
        <f t="shared" si="8"/>
        <v>200</v>
      </c>
      <c r="K51" s="8">
        <f t="shared" si="9"/>
        <v>100</v>
      </c>
      <c r="L51" s="9"/>
      <c r="M51" s="10"/>
      <c r="O51" s="11"/>
      <c r="P51" s="12"/>
    </row>
    <row r="52" spans="1:16" ht="56.4" x14ac:dyDescent="0.35">
      <c r="A52" s="4"/>
      <c r="B52" s="5" t="s">
        <v>92</v>
      </c>
      <c r="C52" s="6" t="s">
        <v>70</v>
      </c>
      <c r="D52" s="6" t="s">
        <v>18</v>
      </c>
      <c r="E52" s="7">
        <v>2200</v>
      </c>
      <c r="F52" s="7">
        <v>1540</v>
      </c>
      <c r="G52" s="7">
        <f t="shared" si="5"/>
        <v>1760</v>
      </c>
      <c r="H52" s="13" t="str">
        <f t="shared" si="6"/>
        <v>NO APLICA</v>
      </c>
      <c r="I52" s="7">
        <f t="shared" si="7"/>
        <v>220</v>
      </c>
      <c r="J52" s="8" t="str">
        <f t="shared" si="8"/>
        <v>NO APLICA</v>
      </c>
      <c r="K52" s="8">
        <f t="shared" si="9"/>
        <v>100</v>
      </c>
      <c r="L52" s="9"/>
      <c r="M52" s="10"/>
      <c r="O52" s="11"/>
      <c r="P52" s="12"/>
    </row>
    <row r="53" spans="1:16" ht="28.8" x14ac:dyDescent="0.35">
      <c r="A53" s="4"/>
      <c r="B53" s="5" t="s">
        <v>93</v>
      </c>
      <c r="C53" s="6" t="s">
        <v>94</v>
      </c>
      <c r="D53" s="6" t="s">
        <v>18</v>
      </c>
      <c r="E53" s="7">
        <v>5000</v>
      </c>
      <c r="F53" s="7">
        <v>3500</v>
      </c>
      <c r="G53" s="7">
        <f t="shared" si="5"/>
        <v>4000</v>
      </c>
      <c r="H53" s="8">
        <f t="shared" si="6"/>
        <v>4080</v>
      </c>
      <c r="I53" s="7">
        <f t="shared" si="7"/>
        <v>500</v>
      </c>
      <c r="J53" s="8">
        <f t="shared" si="8"/>
        <v>340</v>
      </c>
      <c r="K53" s="8">
        <f t="shared" si="9"/>
        <v>100</v>
      </c>
      <c r="L53" s="9"/>
      <c r="M53" s="10"/>
      <c r="O53" s="11"/>
      <c r="P53" s="12"/>
    </row>
    <row r="54" spans="1:16" ht="28.8" x14ac:dyDescent="0.35">
      <c r="A54" s="4"/>
      <c r="B54" s="5" t="s">
        <v>95</v>
      </c>
      <c r="C54" s="6" t="s">
        <v>96</v>
      </c>
      <c r="D54" s="6" t="s">
        <v>18</v>
      </c>
      <c r="E54" s="7">
        <v>5000</v>
      </c>
      <c r="F54" s="7">
        <v>3500</v>
      </c>
      <c r="G54" s="7">
        <f t="shared" si="5"/>
        <v>4000</v>
      </c>
      <c r="H54" s="8">
        <f t="shared" si="6"/>
        <v>4080</v>
      </c>
      <c r="I54" s="7">
        <f t="shared" si="7"/>
        <v>500</v>
      </c>
      <c r="J54" s="8">
        <f t="shared" si="8"/>
        <v>340</v>
      </c>
      <c r="K54" s="8">
        <f t="shared" si="9"/>
        <v>100</v>
      </c>
      <c r="L54" s="9"/>
      <c r="M54" s="10"/>
      <c r="O54" s="11"/>
      <c r="P54" s="12"/>
    </row>
    <row r="55" spans="1:16" ht="28.8" x14ac:dyDescent="0.35">
      <c r="A55" s="4"/>
      <c r="B55" s="5" t="s">
        <v>97</v>
      </c>
      <c r="C55" s="6" t="s">
        <v>94</v>
      </c>
      <c r="D55" s="6" t="s">
        <v>18</v>
      </c>
      <c r="E55" s="7">
        <v>5000</v>
      </c>
      <c r="F55" s="7">
        <v>3500</v>
      </c>
      <c r="G55" s="7">
        <f t="shared" si="5"/>
        <v>4000</v>
      </c>
      <c r="H55" s="8">
        <f t="shared" si="6"/>
        <v>4080</v>
      </c>
      <c r="I55" s="7">
        <f t="shared" si="7"/>
        <v>500</v>
      </c>
      <c r="J55" s="8">
        <f t="shared" si="8"/>
        <v>340</v>
      </c>
      <c r="K55" s="8">
        <f t="shared" si="9"/>
        <v>100</v>
      </c>
      <c r="L55" s="9"/>
      <c r="M55" s="10"/>
      <c r="O55" s="11"/>
      <c r="P55" s="12"/>
    </row>
    <row r="56" spans="1:16" ht="56.4" x14ac:dyDescent="0.35">
      <c r="A56" s="4"/>
      <c r="B56" s="5" t="s">
        <v>98</v>
      </c>
      <c r="C56" s="6" t="s">
        <v>96</v>
      </c>
      <c r="D56" s="6" t="s">
        <v>18</v>
      </c>
      <c r="E56" s="7">
        <v>7690</v>
      </c>
      <c r="F56" s="7">
        <v>5380</v>
      </c>
      <c r="G56" s="7">
        <f t="shared" si="5"/>
        <v>6160</v>
      </c>
      <c r="H56" s="8">
        <f t="shared" si="6"/>
        <v>6240</v>
      </c>
      <c r="I56" s="7">
        <f t="shared" si="7"/>
        <v>770</v>
      </c>
      <c r="J56" s="8">
        <f t="shared" si="8"/>
        <v>520</v>
      </c>
      <c r="K56" s="8">
        <f t="shared" si="9"/>
        <v>150</v>
      </c>
      <c r="L56" s="9"/>
      <c r="M56" s="10"/>
      <c r="O56" s="11"/>
      <c r="P56" s="12"/>
    </row>
    <row r="57" spans="1:16" ht="56.4" x14ac:dyDescent="0.35">
      <c r="A57" s="4"/>
      <c r="B57" s="5" t="s">
        <v>99</v>
      </c>
      <c r="C57" s="6" t="s">
        <v>96</v>
      </c>
      <c r="D57" s="6" t="s">
        <v>18</v>
      </c>
      <c r="E57" s="7">
        <v>3120</v>
      </c>
      <c r="F57" s="7">
        <v>2180</v>
      </c>
      <c r="G57" s="7">
        <f t="shared" si="5"/>
        <v>2560</v>
      </c>
      <c r="H57" s="8">
        <f t="shared" si="6"/>
        <v>2520</v>
      </c>
      <c r="I57" s="7">
        <f t="shared" si="7"/>
        <v>320</v>
      </c>
      <c r="J57" s="8">
        <f t="shared" si="8"/>
        <v>210</v>
      </c>
      <c r="K57" s="8">
        <f t="shared" si="9"/>
        <v>100</v>
      </c>
      <c r="L57" s="9"/>
      <c r="M57" s="10"/>
      <c r="O57" s="11"/>
      <c r="P57" s="12"/>
    </row>
    <row r="58" spans="1:16" ht="56.4" x14ac:dyDescent="0.35">
      <c r="A58" s="4"/>
      <c r="B58" s="5" t="s">
        <v>100</v>
      </c>
      <c r="C58" s="6" t="s">
        <v>96</v>
      </c>
      <c r="D58" s="6" t="s">
        <v>18</v>
      </c>
      <c r="E58" s="7">
        <v>2700</v>
      </c>
      <c r="F58" s="7">
        <v>1890</v>
      </c>
      <c r="G58" s="7">
        <f t="shared" si="5"/>
        <v>2160</v>
      </c>
      <c r="H58" s="13" t="str">
        <f t="shared" si="6"/>
        <v>NO APLICA</v>
      </c>
      <c r="I58" s="7">
        <f t="shared" si="7"/>
        <v>270</v>
      </c>
      <c r="J58" s="8" t="str">
        <f t="shared" si="8"/>
        <v>NO APLICA</v>
      </c>
      <c r="K58" s="8">
        <f t="shared" si="9"/>
        <v>100</v>
      </c>
      <c r="L58" s="9"/>
      <c r="M58" s="10"/>
      <c r="O58" s="11"/>
      <c r="P58" s="12"/>
    </row>
    <row r="59" spans="1:16" ht="56.4" x14ac:dyDescent="0.35">
      <c r="A59" s="4"/>
      <c r="B59" s="5" t="s">
        <v>101</v>
      </c>
      <c r="C59" s="6" t="s">
        <v>96</v>
      </c>
      <c r="D59" s="6" t="s">
        <v>18</v>
      </c>
      <c r="E59" s="7">
        <v>2520</v>
      </c>
      <c r="F59" s="7">
        <v>1765</v>
      </c>
      <c r="G59" s="7">
        <f t="shared" si="5"/>
        <v>2080</v>
      </c>
      <c r="H59" s="13" t="str">
        <f t="shared" si="6"/>
        <v>NO APLICA</v>
      </c>
      <c r="I59" s="7">
        <f t="shared" si="7"/>
        <v>260</v>
      </c>
      <c r="J59" s="8" t="str">
        <f t="shared" si="8"/>
        <v>NO APLICA</v>
      </c>
      <c r="K59" s="8">
        <f t="shared" si="9"/>
        <v>100</v>
      </c>
      <c r="L59" s="9"/>
      <c r="M59" s="10"/>
      <c r="O59" s="11"/>
      <c r="P59" s="12"/>
    </row>
    <row r="60" spans="1:16" ht="28.8" x14ac:dyDescent="0.35">
      <c r="A60" s="4"/>
      <c r="B60" s="5" t="s">
        <v>102</v>
      </c>
      <c r="C60" s="6" t="s">
        <v>96</v>
      </c>
      <c r="D60" s="6" t="s">
        <v>18</v>
      </c>
      <c r="E60" s="7">
        <v>4000</v>
      </c>
      <c r="F60" s="7">
        <v>2800</v>
      </c>
      <c r="G60" s="7">
        <f t="shared" si="5"/>
        <v>3200</v>
      </c>
      <c r="H60" s="8">
        <f t="shared" si="6"/>
        <v>3240</v>
      </c>
      <c r="I60" s="7">
        <f t="shared" si="7"/>
        <v>400</v>
      </c>
      <c r="J60" s="8">
        <f t="shared" si="8"/>
        <v>270</v>
      </c>
      <c r="K60" s="8">
        <f t="shared" si="9"/>
        <v>100</v>
      </c>
      <c r="L60" s="9"/>
      <c r="M60" s="10"/>
      <c r="O60" s="11"/>
      <c r="P60" s="12"/>
    </row>
    <row r="61" spans="1:16" ht="28.8" x14ac:dyDescent="0.35">
      <c r="A61" s="4"/>
      <c r="B61" s="5" t="s">
        <v>103</v>
      </c>
      <c r="C61" s="6" t="s">
        <v>96</v>
      </c>
      <c r="D61" s="6" t="s">
        <v>18</v>
      </c>
      <c r="E61" s="7">
        <v>5000</v>
      </c>
      <c r="F61" s="7">
        <v>3500</v>
      </c>
      <c r="G61" s="7">
        <f t="shared" si="5"/>
        <v>4000</v>
      </c>
      <c r="H61" s="8">
        <f t="shared" si="6"/>
        <v>4080</v>
      </c>
      <c r="I61" s="7">
        <f t="shared" si="7"/>
        <v>500</v>
      </c>
      <c r="J61" s="8">
        <f t="shared" si="8"/>
        <v>340</v>
      </c>
      <c r="K61" s="8">
        <f t="shared" si="9"/>
        <v>100</v>
      </c>
      <c r="L61" s="9"/>
      <c r="M61" s="10"/>
      <c r="O61" s="11"/>
      <c r="P61" s="12"/>
    </row>
    <row r="62" spans="1:16" ht="56.4" x14ac:dyDescent="0.35">
      <c r="A62" s="4"/>
      <c r="B62" s="5" t="s">
        <v>104</v>
      </c>
      <c r="C62" s="6" t="s">
        <v>96</v>
      </c>
      <c r="D62" s="6" t="s">
        <v>18</v>
      </c>
      <c r="E62" s="7">
        <v>5500</v>
      </c>
      <c r="F62" s="7">
        <v>3850</v>
      </c>
      <c r="G62" s="7">
        <f t="shared" si="5"/>
        <v>4400</v>
      </c>
      <c r="H62" s="8">
        <f t="shared" si="6"/>
        <v>4440</v>
      </c>
      <c r="I62" s="7">
        <f t="shared" si="7"/>
        <v>550</v>
      </c>
      <c r="J62" s="8">
        <f t="shared" si="8"/>
        <v>370</v>
      </c>
      <c r="K62" s="8">
        <f t="shared" si="9"/>
        <v>110</v>
      </c>
      <c r="L62" s="9"/>
      <c r="M62" s="10"/>
      <c r="O62" s="11"/>
      <c r="P62" s="12"/>
    </row>
    <row r="63" spans="1:16" ht="28.8" x14ac:dyDescent="0.35">
      <c r="A63" s="4"/>
      <c r="B63" s="5" t="s">
        <v>105</v>
      </c>
      <c r="C63" s="6" t="s">
        <v>96</v>
      </c>
      <c r="D63" s="6" t="s">
        <v>18</v>
      </c>
      <c r="E63" s="7">
        <v>6620</v>
      </c>
      <c r="F63" s="7">
        <v>4630</v>
      </c>
      <c r="G63" s="7">
        <f t="shared" si="5"/>
        <v>5360</v>
      </c>
      <c r="H63" s="8">
        <f t="shared" si="6"/>
        <v>5400</v>
      </c>
      <c r="I63" s="7">
        <f t="shared" si="7"/>
        <v>670</v>
      </c>
      <c r="J63" s="8">
        <f t="shared" si="8"/>
        <v>450</v>
      </c>
      <c r="K63" s="8">
        <f t="shared" si="9"/>
        <v>130</v>
      </c>
      <c r="L63" s="9"/>
      <c r="M63" s="10"/>
      <c r="O63" s="11"/>
      <c r="P63" s="12"/>
    </row>
    <row r="64" spans="1:16" ht="56.4" x14ac:dyDescent="0.35">
      <c r="A64" s="4"/>
      <c r="B64" s="5" t="s">
        <v>106</v>
      </c>
      <c r="C64" s="6" t="s">
        <v>38</v>
      </c>
      <c r="D64" s="6" t="s">
        <v>18</v>
      </c>
      <c r="E64" s="7">
        <v>3000</v>
      </c>
      <c r="F64" s="7">
        <v>2100</v>
      </c>
      <c r="G64" s="7">
        <f t="shared" si="5"/>
        <v>2400</v>
      </c>
      <c r="H64" s="8">
        <f t="shared" si="6"/>
        <v>2400</v>
      </c>
      <c r="I64" s="7">
        <f t="shared" si="7"/>
        <v>300</v>
      </c>
      <c r="J64" s="8">
        <f t="shared" si="8"/>
        <v>200</v>
      </c>
      <c r="K64" s="8">
        <f t="shared" si="9"/>
        <v>100</v>
      </c>
      <c r="L64" s="9"/>
      <c r="M64" s="10"/>
      <c r="O64" s="11"/>
      <c r="P64" s="12"/>
    </row>
    <row r="65" spans="1:16" ht="56.4" x14ac:dyDescent="0.35">
      <c r="A65" s="4"/>
      <c r="B65" s="5" t="s">
        <v>107</v>
      </c>
      <c r="C65" s="6" t="s">
        <v>108</v>
      </c>
      <c r="D65" s="6" t="s">
        <v>109</v>
      </c>
      <c r="E65" s="7">
        <v>3700</v>
      </c>
      <c r="F65" s="7">
        <v>2590</v>
      </c>
      <c r="G65" s="7">
        <f t="shared" si="5"/>
        <v>2960</v>
      </c>
      <c r="H65" s="8">
        <f t="shared" si="6"/>
        <v>3000</v>
      </c>
      <c r="I65" s="7">
        <f t="shared" si="7"/>
        <v>370</v>
      </c>
      <c r="J65" s="8">
        <f t="shared" si="8"/>
        <v>250</v>
      </c>
      <c r="K65" s="8">
        <f t="shared" si="9"/>
        <v>100</v>
      </c>
      <c r="L65" s="9"/>
      <c r="M65" s="10"/>
      <c r="O65" s="11"/>
      <c r="P65" s="12"/>
    </row>
    <row r="66" spans="1:16" ht="56.4" x14ac:dyDescent="0.35">
      <c r="A66" s="4"/>
      <c r="B66" s="5" t="s">
        <v>110</v>
      </c>
      <c r="C66" s="6" t="s">
        <v>111</v>
      </c>
      <c r="D66" s="6" t="s">
        <v>20</v>
      </c>
      <c r="E66" s="7">
        <v>3000</v>
      </c>
      <c r="F66" s="7">
        <v>2100</v>
      </c>
      <c r="G66" s="7">
        <f t="shared" ref="G66:G97" si="10">IF(I66="NO APLICA","NO APLICA",I66*8)</f>
        <v>2400</v>
      </c>
      <c r="H66" s="8">
        <f t="shared" ref="H66:H97" si="11">IF(J66="NO APLICA","NO APLICA",J66*12)</f>
        <v>2400</v>
      </c>
      <c r="I66" s="7">
        <f t="shared" ref="I66:I97" si="12">IF(E66&lt;2000,"NO APLICA",MAX(CEILING((E66*0.8)/8,10),100))</f>
        <v>300</v>
      </c>
      <c r="J66" s="8">
        <f t="shared" ref="J66:J97" si="13">IF(E66&lt;3000,"NO APLICA",MAX(CEILING((E66*0.8)/12,10),100))</f>
        <v>200</v>
      </c>
      <c r="K66" s="8">
        <f t="shared" ref="K66:K97" si="14">MAX(CEILING(E66/52,10),100)</f>
        <v>100</v>
      </c>
      <c r="L66" s="9"/>
      <c r="M66" s="10"/>
      <c r="O66" s="11"/>
      <c r="P66" s="12"/>
    </row>
    <row r="67" spans="1:16" ht="56.4" x14ac:dyDescent="0.35">
      <c r="A67" s="4"/>
      <c r="B67" s="5" t="s">
        <v>110</v>
      </c>
      <c r="C67" s="6" t="s">
        <v>112</v>
      </c>
      <c r="D67" s="6" t="s">
        <v>109</v>
      </c>
      <c r="E67" s="7">
        <v>3000</v>
      </c>
      <c r="F67" s="7">
        <v>2100</v>
      </c>
      <c r="G67" s="7">
        <f t="shared" si="10"/>
        <v>2400</v>
      </c>
      <c r="H67" s="8">
        <f t="shared" si="11"/>
        <v>2400</v>
      </c>
      <c r="I67" s="7">
        <f t="shared" si="12"/>
        <v>300</v>
      </c>
      <c r="J67" s="8">
        <f t="shared" si="13"/>
        <v>200</v>
      </c>
      <c r="K67" s="8">
        <f t="shared" si="14"/>
        <v>100</v>
      </c>
      <c r="L67" s="9"/>
      <c r="M67" s="10"/>
      <c r="O67" s="11"/>
      <c r="P67" s="12"/>
    </row>
    <row r="68" spans="1:16" ht="28.8" x14ac:dyDescent="0.35">
      <c r="A68" s="4"/>
      <c r="B68" s="5" t="s">
        <v>113</v>
      </c>
      <c r="C68" s="6" t="s">
        <v>114</v>
      </c>
      <c r="D68" s="6" t="s">
        <v>115</v>
      </c>
      <c r="E68" s="7">
        <v>2800</v>
      </c>
      <c r="F68" s="7">
        <v>1960</v>
      </c>
      <c r="G68" s="7">
        <f t="shared" si="10"/>
        <v>2240</v>
      </c>
      <c r="H68" s="13" t="str">
        <f t="shared" si="11"/>
        <v>NO APLICA</v>
      </c>
      <c r="I68" s="7">
        <f t="shared" si="12"/>
        <v>280</v>
      </c>
      <c r="J68" s="8" t="str">
        <f t="shared" si="13"/>
        <v>NO APLICA</v>
      </c>
      <c r="K68" s="8">
        <f t="shared" si="14"/>
        <v>100</v>
      </c>
      <c r="L68" s="9"/>
      <c r="M68" s="10"/>
      <c r="O68" s="11"/>
      <c r="P68" s="12"/>
    </row>
    <row r="69" spans="1:16" ht="28.8" x14ac:dyDescent="0.35">
      <c r="A69" s="4"/>
      <c r="B69" s="5" t="s">
        <v>116</v>
      </c>
      <c r="C69" s="6" t="s">
        <v>114</v>
      </c>
      <c r="D69" s="6" t="s">
        <v>115</v>
      </c>
      <c r="E69" s="7">
        <v>4000</v>
      </c>
      <c r="F69" s="7">
        <v>2800</v>
      </c>
      <c r="G69" s="7">
        <f t="shared" si="10"/>
        <v>3200</v>
      </c>
      <c r="H69" s="8">
        <f t="shared" si="11"/>
        <v>3240</v>
      </c>
      <c r="I69" s="7">
        <f t="shared" si="12"/>
        <v>400</v>
      </c>
      <c r="J69" s="8">
        <f t="shared" si="13"/>
        <v>270</v>
      </c>
      <c r="K69" s="8">
        <f t="shared" si="14"/>
        <v>100</v>
      </c>
      <c r="L69" s="9"/>
      <c r="M69" s="10"/>
      <c r="O69" s="11"/>
      <c r="P69" s="12"/>
    </row>
    <row r="70" spans="1:16" ht="28.8" x14ac:dyDescent="0.35">
      <c r="A70" s="4"/>
      <c r="B70" s="5" t="s">
        <v>117</v>
      </c>
      <c r="C70" s="6" t="s">
        <v>114</v>
      </c>
      <c r="D70" s="6" t="s">
        <v>115</v>
      </c>
      <c r="E70" s="7">
        <v>5400</v>
      </c>
      <c r="F70" s="7">
        <v>3780</v>
      </c>
      <c r="G70" s="7">
        <f t="shared" si="10"/>
        <v>4320</v>
      </c>
      <c r="H70" s="8">
        <f t="shared" si="11"/>
        <v>4320</v>
      </c>
      <c r="I70" s="7">
        <f t="shared" si="12"/>
        <v>540</v>
      </c>
      <c r="J70" s="8">
        <f t="shared" si="13"/>
        <v>360</v>
      </c>
      <c r="K70" s="8">
        <f t="shared" si="14"/>
        <v>110</v>
      </c>
      <c r="L70" s="9"/>
      <c r="M70" s="10"/>
      <c r="O70" s="11"/>
      <c r="P70" s="12"/>
    </row>
    <row r="71" spans="1:16" ht="28.8" x14ac:dyDescent="0.35">
      <c r="A71" s="4"/>
      <c r="B71" s="5" t="s">
        <v>118</v>
      </c>
      <c r="C71" s="6" t="s">
        <v>114</v>
      </c>
      <c r="D71" s="6" t="s">
        <v>115</v>
      </c>
      <c r="E71" s="7">
        <v>495</v>
      </c>
      <c r="F71" s="7">
        <v>350</v>
      </c>
      <c r="G71" s="6" t="str">
        <f t="shared" si="10"/>
        <v>NO APLICA</v>
      </c>
      <c r="H71" s="13" t="str">
        <f t="shared" si="11"/>
        <v>NO APLICA</v>
      </c>
      <c r="I71" s="7" t="str">
        <f t="shared" si="12"/>
        <v>NO APLICA</v>
      </c>
      <c r="J71" s="8" t="str">
        <f t="shared" si="13"/>
        <v>NO APLICA</v>
      </c>
      <c r="K71" s="8">
        <f t="shared" si="14"/>
        <v>100</v>
      </c>
      <c r="L71" s="9"/>
      <c r="M71" s="10"/>
      <c r="O71" s="11"/>
      <c r="P71" s="12"/>
    </row>
    <row r="72" spans="1:16" ht="28.8" x14ac:dyDescent="0.35">
      <c r="A72" s="4"/>
      <c r="B72" s="5" t="s">
        <v>119</v>
      </c>
      <c r="C72" s="6" t="s">
        <v>120</v>
      </c>
      <c r="D72" s="6" t="s">
        <v>115</v>
      </c>
      <c r="E72" s="7">
        <v>595</v>
      </c>
      <c r="F72" s="7">
        <v>420</v>
      </c>
      <c r="G72" s="6" t="str">
        <f t="shared" si="10"/>
        <v>NO APLICA</v>
      </c>
      <c r="H72" s="13" t="str">
        <f t="shared" si="11"/>
        <v>NO APLICA</v>
      </c>
      <c r="I72" s="7" t="str">
        <f t="shared" si="12"/>
        <v>NO APLICA</v>
      </c>
      <c r="J72" s="8" t="str">
        <f t="shared" si="13"/>
        <v>NO APLICA</v>
      </c>
      <c r="K72" s="8">
        <f t="shared" si="14"/>
        <v>100</v>
      </c>
      <c r="L72" s="9"/>
      <c r="M72" s="10"/>
      <c r="O72" s="11"/>
      <c r="P72" s="12"/>
    </row>
    <row r="73" spans="1:16" ht="28.8" x14ac:dyDescent="0.35">
      <c r="A73" s="4"/>
      <c r="B73" s="5" t="s">
        <v>121</v>
      </c>
      <c r="C73" s="6" t="s">
        <v>114</v>
      </c>
      <c r="D73" s="6" t="s">
        <v>115</v>
      </c>
      <c r="E73" s="7">
        <v>750</v>
      </c>
      <c r="F73" s="7">
        <v>525</v>
      </c>
      <c r="G73" s="6" t="str">
        <f t="shared" si="10"/>
        <v>NO APLICA</v>
      </c>
      <c r="H73" s="13" t="str">
        <f t="shared" si="11"/>
        <v>NO APLICA</v>
      </c>
      <c r="I73" s="7" t="str">
        <f t="shared" si="12"/>
        <v>NO APLICA</v>
      </c>
      <c r="J73" s="8" t="str">
        <f t="shared" si="13"/>
        <v>NO APLICA</v>
      </c>
      <c r="K73" s="8">
        <f t="shared" si="14"/>
        <v>100</v>
      </c>
      <c r="L73" s="9"/>
      <c r="M73" s="10"/>
      <c r="O73" s="11"/>
      <c r="P73" s="12"/>
    </row>
    <row r="74" spans="1:16" ht="28.8" x14ac:dyDescent="0.35">
      <c r="A74" s="4"/>
      <c r="B74" s="5" t="s">
        <v>122</v>
      </c>
      <c r="C74" s="6" t="s">
        <v>120</v>
      </c>
      <c r="D74" s="6" t="s">
        <v>115</v>
      </c>
      <c r="E74" s="7">
        <v>1690</v>
      </c>
      <c r="F74" s="7">
        <v>1180</v>
      </c>
      <c r="G74" s="6" t="str">
        <f t="shared" si="10"/>
        <v>NO APLICA</v>
      </c>
      <c r="H74" s="13" t="str">
        <f t="shared" si="11"/>
        <v>NO APLICA</v>
      </c>
      <c r="I74" s="7" t="str">
        <f t="shared" si="12"/>
        <v>NO APLICA</v>
      </c>
      <c r="J74" s="8" t="str">
        <f t="shared" si="13"/>
        <v>NO APLICA</v>
      </c>
      <c r="K74" s="8">
        <f t="shared" si="14"/>
        <v>100</v>
      </c>
      <c r="L74" s="9"/>
      <c r="M74" s="10"/>
      <c r="O74" s="11"/>
      <c r="P74" s="12"/>
    </row>
    <row r="75" spans="1:16" ht="28.8" x14ac:dyDescent="0.35">
      <c r="A75" s="4"/>
      <c r="B75" s="5" t="s">
        <v>123</v>
      </c>
      <c r="C75" s="6" t="s">
        <v>120</v>
      </c>
      <c r="D75" s="6" t="s">
        <v>115</v>
      </c>
      <c r="E75" s="7">
        <v>1980</v>
      </c>
      <c r="F75" s="7">
        <v>1380</v>
      </c>
      <c r="G75" s="6" t="str">
        <f t="shared" si="10"/>
        <v>NO APLICA</v>
      </c>
      <c r="H75" s="13" t="str">
        <f t="shared" si="11"/>
        <v>NO APLICA</v>
      </c>
      <c r="I75" s="7" t="str">
        <f t="shared" si="12"/>
        <v>NO APLICA</v>
      </c>
      <c r="J75" s="8" t="str">
        <f t="shared" si="13"/>
        <v>NO APLICA</v>
      </c>
      <c r="K75" s="8">
        <f t="shared" si="14"/>
        <v>100</v>
      </c>
      <c r="L75" s="9"/>
      <c r="M75" s="10"/>
      <c r="O75" s="11"/>
      <c r="P75" s="12"/>
    </row>
    <row r="76" spans="1:16" ht="28.8" x14ac:dyDescent="0.35">
      <c r="A76" s="4"/>
      <c r="B76" s="5" t="s">
        <v>124</v>
      </c>
      <c r="C76" s="6" t="s">
        <v>120</v>
      </c>
      <c r="D76" s="6" t="s">
        <v>115</v>
      </c>
      <c r="E76" s="7">
        <v>2380</v>
      </c>
      <c r="F76" s="7">
        <v>1670</v>
      </c>
      <c r="G76" s="7">
        <f t="shared" si="10"/>
        <v>1920</v>
      </c>
      <c r="H76" s="13" t="str">
        <f t="shared" si="11"/>
        <v>NO APLICA</v>
      </c>
      <c r="I76" s="7">
        <f t="shared" si="12"/>
        <v>240</v>
      </c>
      <c r="J76" s="8" t="str">
        <f t="shared" si="13"/>
        <v>NO APLICA</v>
      </c>
      <c r="K76" s="8">
        <f t="shared" si="14"/>
        <v>100</v>
      </c>
      <c r="L76" s="9"/>
      <c r="M76" s="10"/>
      <c r="O76" s="11"/>
      <c r="P76" s="12"/>
    </row>
    <row r="77" spans="1:16" ht="56.4" x14ac:dyDescent="0.35">
      <c r="A77" s="4"/>
      <c r="B77" s="5" t="s">
        <v>125</v>
      </c>
      <c r="C77" s="6" t="s">
        <v>126</v>
      </c>
      <c r="D77" s="6" t="s">
        <v>115</v>
      </c>
      <c r="E77" s="7">
        <v>3300</v>
      </c>
      <c r="F77" s="7">
        <v>2310</v>
      </c>
      <c r="G77" s="7">
        <f t="shared" si="10"/>
        <v>2640</v>
      </c>
      <c r="H77" s="8">
        <f t="shared" si="11"/>
        <v>2640</v>
      </c>
      <c r="I77" s="7">
        <f t="shared" si="12"/>
        <v>330</v>
      </c>
      <c r="J77" s="8">
        <f t="shared" si="13"/>
        <v>220</v>
      </c>
      <c r="K77" s="8">
        <f t="shared" si="14"/>
        <v>100</v>
      </c>
      <c r="L77" s="9"/>
      <c r="M77" s="10"/>
      <c r="O77" s="11"/>
      <c r="P77" s="12"/>
    </row>
    <row r="78" spans="1:16" ht="28.8" x14ac:dyDescent="0.35">
      <c r="A78" s="4"/>
      <c r="B78" s="5" t="s">
        <v>127</v>
      </c>
      <c r="C78" s="6" t="s">
        <v>114</v>
      </c>
      <c r="D78" s="6" t="s">
        <v>115</v>
      </c>
      <c r="E78" s="7">
        <v>3000</v>
      </c>
      <c r="F78" s="7">
        <v>2100</v>
      </c>
      <c r="G78" s="7">
        <f t="shared" si="10"/>
        <v>2400</v>
      </c>
      <c r="H78" s="8">
        <f t="shared" si="11"/>
        <v>2400</v>
      </c>
      <c r="I78" s="7">
        <f t="shared" si="12"/>
        <v>300</v>
      </c>
      <c r="J78" s="8">
        <f t="shared" si="13"/>
        <v>200</v>
      </c>
      <c r="K78" s="8">
        <f t="shared" si="14"/>
        <v>100</v>
      </c>
      <c r="L78" s="9"/>
      <c r="M78" s="10"/>
      <c r="O78" s="11"/>
      <c r="P78" s="12"/>
    </row>
    <row r="79" spans="1:16" ht="28.8" x14ac:dyDescent="0.35">
      <c r="A79" s="4"/>
      <c r="B79" s="5" t="s">
        <v>128</v>
      </c>
      <c r="C79" s="6" t="s">
        <v>129</v>
      </c>
      <c r="D79" s="6" t="s">
        <v>115</v>
      </c>
      <c r="E79" s="7">
        <v>3300</v>
      </c>
      <c r="F79" s="7">
        <v>2310</v>
      </c>
      <c r="G79" s="7">
        <f t="shared" si="10"/>
        <v>2640</v>
      </c>
      <c r="H79" s="8">
        <f t="shared" si="11"/>
        <v>2640</v>
      </c>
      <c r="I79" s="7">
        <f t="shared" si="12"/>
        <v>330</v>
      </c>
      <c r="J79" s="8">
        <f t="shared" si="13"/>
        <v>220</v>
      </c>
      <c r="K79" s="8">
        <f t="shared" si="14"/>
        <v>100</v>
      </c>
      <c r="L79" s="9"/>
      <c r="M79" s="10"/>
      <c r="O79" s="11"/>
      <c r="P79" s="12"/>
    </row>
    <row r="80" spans="1:16" ht="56.4" x14ac:dyDescent="0.35">
      <c r="A80" s="4"/>
      <c r="B80" s="5" t="s">
        <v>130</v>
      </c>
      <c r="C80" s="6" t="s">
        <v>129</v>
      </c>
      <c r="D80" s="6" t="s">
        <v>115</v>
      </c>
      <c r="E80" s="7">
        <v>3500</v>
      </c>
      <c r="F80" s="7">
        <v>2450</v>
      </c>
      <c r="G80" s="7">
        <f t="shared" si="10"/>
        <v>2800</v>
      </c>
      <c r="H80" s="8">
        <f t="shared" si="11"/>
        <v>2880</v>
      </c>
      <c r="I80" s="7">
        <f t="shared" si="12"/>
        <v>350</v>
      </c>
      <c r="J80" s="8">
        <f t="shared" si="13"/>
        <v>240</v>
      </c>
      <c r="K80" s="8">
        <f t="shared" si="14"/>
        <v>100</v>
      </c>
      <c r="L80" s="9"/>
      <c r="M80" s="10"/>
      <c r="O80" s="11"/>
      <c r="P80" s="12"/>
    </row>
    <row r="81" spans="1:16" ht="28.8" x14ac:dyDescent="0.35">
      <c r="A81" s="4"/>
      <c r="B81" s="5" t="s">
        <v>131</v>
      </c>
      <c r="C81" s="6" t="s">
        <v>132</v>
      </c>
      <c r="D81" s="6" t="s">
        <v>133</v>
      </c>
      <c r="E81" s="7">
        <v>3500</v>
      </c>
      <c r="F81" s="7">
        <v>2450</v>
      </c>
      <c r="G81" s="7">
        <f t="shared" si="10"/>
        <v>2800</v>
      </c>
      <c r="H81" s="8">
        <f t="shared" si="11"/>
        <v>2880</v>
      </c>
      <c r="I81" s="7">
        <f t="shared" si="12"/>
        <v>350</v>
      </c>
      <c r="J81" s="8">
        <f t="shared" si="13"/>
        <v>240</v>
      </c>
      <c r="K81" s="8">
        <f t="shared" si="14"/>
        <v>100</v>
      </c>
      <c r="L81" s="9"/>
      <c r="M81" s="10"/>
      <c r="O81" s="11"/>
      <c r="P81" s="12"/>
    </row>
    <row r="82" spans="1:16" ht="28.8" x14ac:dyDescent="0.35">
      <c r="A82" s="4"/>
      <c r="B82" s="5" t="s">
        <v>134</v>
      </c>
      <c r="C82" s="6" t="s">
        <v>129</v>
      </c>
      <c r="D82" s="6" t="s">
        <v>135</v>
      </c>
      <c r="E82" s="7">
        <v>3600</v>
      </c>
      <c r="F82" s="7">
        <v>2520</v>
      </c>
      <c r="G82" s="7">
        <f t="shared" si="10"/>
        <v>2880</v>
      </c>
      <c r="H82" s="8">
        <f t="shared" si="11"/>
        <v>2880</v>
      </c>
      <c r="I82" s="7">
        <f t="shared" si="12"/>
        <v>360</v>
      </c>
      <c r="J82" s="8">
        <f t="shared" si="13"/>
        <v>240</v>
      </c>
      <c r="K82" s="8">
        <f t="shared" si="14"/>
        <v>100</v>
      </c>
      <c r="L82" s="9"/>
      <c r="M82" s="10"/>
      <c r="O82" s="11"/>
      <c r="P82" s="12"/>
    </row>
    <row r="83" spans="1:16" ht="56.4" x14ac:dyDescent="0.35">
      <c r="A83" s="4"/>
      <c r="B83" s="5" t="s">
        <v>136</v>
      </c>
      <c r="C83" s="6" t="s">
        <v>137</v>
      </c>
      <c r="D83" s="6" t="s">
        <v>133</v>
      </c>
      <c r="E83" s="7">
        <v>1600</v>
      </c>
      <c r="F83" s="7">
        <v>1120</v>
      </c>
      <c r="G83" s="6" t="str">
        <f t="shared" si="10"/>
        <v>NO APLICA</v>
      </c>
      <c r="H83" s="13" t="str">
        <f t="shared" si="11"/>
        <v>NO APLICA</v>
      </c>
      <c r="I83" s="7" t="str">
        <f t="shared" si="12"/>
        <v>NO APLICA</v>
      </c>
      <c r="J83" s="8" t="str">
        <f t="shared" si="13"/>
        <v>NO APLICA</v>
      </c>
      <c r="K83" s="8">
        <f t="shared" si="14"/>
        <v>100</v>
      </c>
      <c r="L83" s="9"/>
      <c r="M83" s="10"/>
      <c r="O83" s="11"/>
      <c r="P83" s="12"/>
    </row>
    <row r="84" spans="1:16" ht="56.4" x14ac:dyDescent="0.35">
      <c r="A84" s="4"/>
      <c r="B84" s="5" t="s">
        <v>138</v>
      </c>
      <c r="C84" s="6" t="s">
        <v>139</v>
      </c>
      <c r="D84" s="6" t="s">
        <v>133</v>
      </c>
      <c r="E84" s="7">
        <v>2400</v>
      </c>
      <c r="F84" s="7">
        <v>1680</v>
      </c>
      <c r="G84" s="7">
        <f t="shared" si="10"/>
        <v>1920</v>
      </c>
      <c r="H84" s="13" t="str">
        <f t="shared" si="11"/>
        <v>NO APLICA</v>
      </c>
      <c r="I84" s="7">
        <f t="shared" si="12"/>
        <v>240</v>
      </c>
      <c r="J84" s="8" t="str">
        <f t="shared" si="13"/>
        <v>NO APLICA</v>
      </c>
      <c r="K84" s="8">
        <f t="shared" si="14"/>
        <v>100</v>
      </c>
      <c r="L84" s="9"/>
      <c r="M84" s="10"/>
      <c r="O84" s="11"/>
      <c r="P84" s="12"/>
    </row>
    <row r="85" spans="1:16" ht="56.4" x14ac:dyDescent="0.35">
      <c r="A85" s="4"/>
      <c r="B85" s="5" t="s">
        <v>140</v>
      </c>
      <c r="C85" s="6" t="s">
        <v>139</v>
      </c>
      <c r="D85" s="6" t="s">
        <v>133</v>
      </c>
      <c r="E85" s="7">
        <v>3300</v>
      </c>
      <c r="F85" s="7">
        <v>2310</v>
      </c>
      <c r="G85" s="7">
        <f t="shared" si="10"/>
        <v>2640</v>
      </c>
      <c r="H85" s="8">
        <f t="shared" si="11"/>
        <v>2640</v>
      </c>
      <c r="I85" s="7">
        <f t="shared" si="12"/>
        <v>330</v>
      </c>
      <c r="J85" s="8">
        <f t="shared" si="13"/>
        <v>220</v>
      </c>
      <c r="K85" s="8">
        <f t="shared" si="14"/>
        <v>100</v>
      </c>
      <c r="L85" s="9"/>
      <c r="M85" s="10"/>
      <c r="O85" s="11"/>
      <c r="P85" s="12"/>
    </row>
    <row r="86" spans="1:16" ht="56.4" x14ac:dyDescent="0.35">
      <c r="A86" s="4"/>
      <c r="B86" s="5" t="s">
        <v>141</v>
      </c>
      <c r="C86" s="6" t="s">
        <v>139</v>
      </c>
      <c r="D86" s="6" t="s">
        <v>133</v>
      </c>
      <c r="E86" s="7">
        <v>5500</v>
      </c>
      <c r="F86" s="7">
        <v>3850</v>
      </c>
      <c r="G86" s="7">
        <f t="shared" si="10"/>
        <v>4400</v>
      </c>
      <c r="H86" s="8">
        <f t="shared" si="11"/>
        <v>4440</v>
      </c>
      <c r="I86" s="7">
        <f t="shared" si="12"/>
        <v>550</v>
      </c>
      <c r="J86" s="8">
        <f t="shared" si="13"/>
        <v>370</v>
      </c>
      <c r="K86" s="8">
        <f t="shared" si="14"/>
        <v>110</v>
      </c>
      <c r="L86" s="9"/>
      <c r="M86" s="10"/>
      <c r="O86" s="11"/>
      <c r="P86" s="12"/>
    </row>
    <row r="87" spans="1:16" ht="56.4" x14ac:dyDescent="0.35">
      <c r="A87" s="4"/>
      <c r="B87" s="5" t="s">
        <v>142</v>
      </c>
      <c r="C87" s="6" t="s">
        <v>139</v>
      </c>
      <c r="D87" s="6" t="s">
        <v>135</v>
      </c>
      <c r="E87" s="7">
        <v>8500</v>
      </c>
      <c r="F87" s="7">
        <v>5950</v>
      </c>
      <c r="G87" s="7">
        <f t="shared" si="10"/>
        <v>6800</v>
      </c>
      <c r="H87" s="8">
        <f t="shared" si="11"/>
        <v>6840</v>
      </c>
      <c r="I87" s="7">
        <f t="shared" si="12"/>
        <v>850</v>
      </c>
      <c r="J87" s="8">
        <f t="shared" si="13"/>
        <v>570</v>
      </c>
      <c r="K87" s="8">
        <f t="shared" si="14"/>
        <v>170</v>
      </c>
      <c r="L87" s="9"/>
      <c r="M87" s="10"/>
      <c r="O87" s="11"/>
      <c r="P87" s="12"/>
    </row>
    <row r="88" spans="1:16" ht="56.4" x14ac:dyDescent="0.35">
      <c r="A88" s="4"/>
      <c r="B88" s="5" t="s">
        <v>143</v>
      </c>
      <c r="C88" s="6" t="s">
        <v>139</v>
      </c>
      <c r="D88" s="6" t="s">
        <v>133</v>
      </c>
      <c r="E88" s="7">
        <v>10500</v>
      </c>
      <c r="F88" s="7">
        <v>7350</v>
      </c>
      <c r="G88" s="7">
        <f t="shared" si="10"/>
        <v>8400</v>
      </c>
      <c r="H88" s="8">
        <f t="shared" si="11"/>
        <v>8400</v>
      </c>
      <c r="I88" s="7">
        <f t="shared" si="12"/>
        <v>1050</v>
      </c>
      <c r="J88" s="8">
        <f t="shared" si="13"/>
        <v>700</v>
      </c>
      <c r="K88" s="8">
        <f t="shared" si="14"/>
        <v>210</v>
      </c>
      <c r="L88" s="9"/>
      <c r="M88" s="10"/>
      <c r="O88" s="11"/>
      <c r="P88" s="12"/>
    </row>
    <row r="89" spans="1:16" ht="56.4" x14ac:dyDescent="0.35">
      <c r="A89" s="4"/>
      <c r="B89" s="5" t="s">
        <v>144</v>
      </c>
      <c r="C89" s="6" t="s">
        <v>139</v>
      </c>
      <c r="D89" s="6" t="s">
        <v>133</v>
      </c>
      <c r="E89" s="7">
        <v>1500</v>
      </c>
      <c r="F89" s="7">
        <v>1050</v>
      </c>
      <c r="G89" s="6" t="str">
        <f t="shared" si="10"/>
        <v>NO APLICA</v>
      </c>
      <c r="H89" s="13" t="str">
        <f t="shared" si="11"/>
        <v>NO APLICA</v>
      </c>
      <c r="I89" s="7" t="str">
        <f t="shared" si="12"/>
        <v>NO APLICA</v>
      </c>
      <c r="J89" s="8" t="str">
        <f t="shared" si="13"/>
        <v>NO APLICA</v>
      </c>
      <c r="K89" s="8">
        <f t="shared" si="14"/>
        <v>100</v>
      </c>
      <c r="L89" s="9"/>
      <c r="M89" s="10"/>
      <c r="O89" s="11"/>
      <c r="P89" s="12"/>
    </row>
    <row r="90" spans="1:16" ht="56.4" x14ac:dyDescent="0.35">
      <c r="A90" s="4"/>
      <c r="B90" s="5" t="s">
        <v>145</v>
      </c>
      <c r="C90" s="6" t="s">
        <v>139</v>
      </c>
      <c r="D90" s="6" t="s">
        <v>133</v>
      </c>
      <c r="E90" s="7">
        <v>1900</v>
      </c>
      <c r="F90" s="7">
        <v>1330</v>
      </c>
      <c r="G90" s="6" t="str">
        <f t="shared" si="10"/>
        <v>NO APLICA</v>
      </c>
      <c r="H90" s="13" t="str">
        <f t="shared" si="11"/>
        <v>NO APLICA</v>
      </c>
      <c r="I90" s="7" t="str">
        <f t="shared" si="12"/>
        <v>NO APLICA</v>
      </c>
      <c r="J90" s="8" t="str">
        <f t="shared" si="13"/>
        <v>NO APLICA</v>
      </c>
      <c r="K90" s="8">
        <f t="shared" si="14"/>
        <v>100</v>
      </c>
      <c r="L90" s="9"/>
      <c r="M90" s="10"/>
      <c r="O90" s="11"/>
      <c r="P90" s="12"/>
    </row>
    <row r="91" spans="1:16" ht="56.4" x14ac:dyDescent="0.35">
      <c r="A91" s="4"/>
      <c r="B91" s="5" t="s">
        <v>146</v>
      </c>
      <c r="C91" s="6" t="s">
        <v>139</v>
      </c>
      <c r="D91" s="6" t="s">
        <v>133</v>
      </c>
      <c r="E91" s="7">
        <v>2500</v>
      </c>
      <c r="F91" s="7">
        <v>1760</v>
      </c>
      <c r="G91" s="7">
        <f t="shared" si="10"/>
        <v>2000</v>
      </c>
      <c r="H91" s="13" t="str">
        <f t="shared" si="11"/>
        <v>NO APLICA</v>
      </c>
      <c r="I91" s="7">
        <f t="shared" si="12"/>
        <v>250</v>
      </c>
      <c r="J91" s="8" t="str">
        <f t="shared" si="13"/>
        <v>NO APLICA</v>
      </c>
      <c r="K91" s="8">
        <f t="shared" si="14"/>
        <v>100</v>
      </c>
      <c r="L91" s="9"/>
      <c r="M91" s="10"/>
      <c r="O91" s="11"/>
      <c r="P91" s="12"/>
    </row>
    <row r="92" spans="1:16" ht="56.4" x14ac:dyDescent="0.35">
      <c r="A92" s="4"/>
      <c r="B92" s="5" t="s">
        <v>147</v>
      </c>
      <c r="C92" s="6" t="s">
        <v>139</v>
      </c>
      <c r="D92" s="6" t="s">
        <v>135</v>
      </c>
      <c r="E92" s="7">
        <v>3300</v>
      </c>
      <c r="F92" s="7">
        <v>2310</v>
      </c>
      <c r="G92" s="7">
        <f t="shared" si="10"/>
        <v>2640</v>
      </c>
      <c r="H92" s="8">
        <f t="shared" si="11"/>
        <v>2640</v>
      </c>
      <c r="I92" s="7">
        <f t="shared" si="12"/>
        <v>330</v>
      </c>
      <c r="J92" s="8">
        <f t="shared" si="13"/>
        <v>220</v>
      </c>
      <c r="K92" s="8">
        <f t="shared" si="14"/>
        <v>100</v>
      </c>
      <c r="L92" s="9"/>
      <c r="M92" s="10"/>
      <c r="O92" s="11"/>
      <c r="P92" s="12"/>
    </row>
    <row r="93" spans="1:16" ht="56.4" x14ac:dyDescent="0.35">
      <c r="A93" s="4"/>
      <c r="B93" s="5" t="s">
        <v>148</v>
      </c>
      <c r="C93" s="6" t="s">
        <v>139</v>
      </c>
      <c r="D93" s="6" t="s">
        <v>135</v>
      </c>
      <c r="E93" s="7">
        <v>3500</v>
      </c>
      <c r="F93" s="7">
        <v>2450</v>
      </c>
      <c r="G93" s="7">
        <f t="shared" si="10"/>
        <v>2800</v>
      </c>
      <c r="H93" s="8">
        <f t="shared" si="11"/>
        <v>2880</v>
      </c>
      <c r="I93" s="7">
        <f t="shared" si="12"/>
        <v>350</v>
      </c>
      <c r="J93" s="8">
        <f t="shared" si="13"/>
        <v>240</v>
      </c>
      <c r="K93" s="8">
        <f t="shared" si="14"/>
        <v>100</v>
      </c>
      <c r="L93" s="9"/>
      <c r="M93" s="10"/>
      <c r="O93" s="11"/>
      <c r="P93" s="12"/>
    </row>
    <row r="94" spans="1:16" ht="56.4" x14ac:dyDescent="0.35">
      <c r="A94" s="4"/>
      <c r="B94" s="5" t="s">
        <v>149</v>
      </c>
      <c r="C94" s="6" t="s">
        <v>137</v>
      </c>
      <c r="D94" s="6" t="s">
        <v>135</v>
      </c>
      <c r="E94" s="7">
        <v>5640</v>
      </c>
      <c r="F94" s="7">
        <v>3950</v>
      </c>
      <c r="G94" s="7">
        <f t="shared" si="10"/>
        <v>4560</v>
      </c>
      <c r="H94" s="8">
        <f t="shared" si="11"/>
        <v>4560</v>
      </c>
      <c r="I94" s="7">
        <f t="shared" si="12"/>
        <v>570</v>
      </c>
      <c r="J94" s="8">
        <f t="shared" si="13"/>
        <v>380</v>
      </c>
      <c r="K94" s="8">
        <f t="shared" si="14"/>
        <v>110</v>
      </c>
      <c r="L94" s="9"/>
      <c r="M94" s="10"/>
      <c r="O94" s="11"/>
      <c r="P94" s="12"/>
    </row>
    <row r="95" spans="1:16" ht="56.4" x14ac:dyDescent="0.35">
      <c r="A95" s="4"/>
      <c r="B95" s="5" t="s">
        <v>150</v>
      </c>
      <c r="C95" s="6" t="s">
        <v>139</v>
      </c>
      <c r="D95" s="6" t="s">
        <v>135</v>
      </c>
      <c r="E95" s="7">
        <v>6200</v>
      </c>
      <c r="F95" s="7">
        <v>4340</v>
      </c>
      <c r="G95" s="7">
        <f t="shared" si="10"/>
        <v>4960</v>
      </c>
      <c r="H95" s="8">
        <f t="shared" si="11"/>
        <v>5040</v>
      </c>
      <c r="I95" s="7">
        <f t="shared" si="12"/>
        <v>620</v>
      </c>
      <c r="J95" s="8">
        <f t="shared" si="13"/>
        <v>420</v>
      </c>
      <c r="K95" s="8">
        <f t="shared" si="14"/>
        <v>120</v>
      </c>
      <c r="L95" s="9"/>
      <c r="M95" s="10"/>
      <c r="O95" s="11"/>
      <c r="P95" s="12"/>
    </row>
    <row r="96" spans="1:16" ht="56.4" x14ac:dyDescent="0.35">
      <c r="A96" s="4"/>
      <c r="B96" s="5" t="s">
        <v>151</v>
      </c>
      <c r="C96" s="6" t="s">
        <v>139</v>
      </c>
      <c r="D96" s="6" t="s">
        <v>135</v>
      </c>
      <c r="E96" s="7">
        <v>7300</v>
      </c>
      <c r="F96" s="7">
        <v>5110</v>
      </c>
      <c r="G96" s="7">
        <f t="shared" si="10"/>
        <v>5840</v>
      </c>
      <c r="H96" s="8">
        <f t="shared" si="11"/>
        <v>5880</v>
      </c>
      <c r="I96" s="7">
        <f t="shared" si="12"/>
        <v>730</v>
      </c>
      <c r="J96" s="8">
        <f t="shared" si="13"/>
        <v>490</v>
      </c>
      <c r="K96" s="8">
        <f t="shared" si="14"/>
        <v>150</v>
      </c>
      <c r="L96" s="9"/>
      <c r="M96" s="10"/>
      <c r="O96" s="11"/>
      <c r="P96" s="12"/>
    </row>
    <row r="97" spans="1:16" ht="56.4" x14ac:dyDescent="0.35">
      <c r="A97" s="4"/>
      <c r="B97" s="5" t="s">
        <v>152</v>
      </c>
      <c r="C97" s="6" t="s">
        <v>137</v>
      </c>
      <c r="D97" s="6" t="s">
        <v>135</v>
      </c>
      <c r="E97" s="7">
        <v>1100</v>
      </c>
      <c r="F97" s="7">
        <v>770</v>
      </c>
      <c r="G97" s="6" t="str">
        <f t="shared" si="10"/>
        <v>NO APLICA</v>
      </c>
      <c r="H97" s="13" t="str">
        <f t="shared" si="11"/>
        <v>NO APLICA</v>
      </c>
      <c r="I97" s="7" t="str">
        <f t="shared" si="12"/>
        <v>NO APLICA</v>
      </c>
      <c r="J97" s="8" t="str">
        <f t="shared" si="13"/>
        <v>NO APLICA</v>
      </c>
      <c r="K97" s="8">
        <f t="shared" si="14"/>
        <v>100</v>
      </c>
      <c r="L97" s="9"/>
      <c r="M97" s="10"/>
      <c r="O97" s="11"/>
      <c r="P97" s="12"/>
    </row>
    <row r="98" spans="1:16" ht="56.4" x14ac:dyDescent="0.35">
      <c r="A98" s="4"/>
      <c r="B98" s="5" t="s">
        <v>153</v>
      </c>
      <c r="C98" s="6" t="s">
        <v>139</v>
      </c>
      <c r="D98" s="6" t="s">
        <v>135</v>
      </c>
      <c r="E98" s="7">
        <v>1300</v>
      </c>
      <c r="F98" s="7">
        <v>910</v>
      </c>
      <c r="G98" s="6" t="str">
        <f t="shared" ref="G98:G129" si="15">IF(I98="NO APLICA","NO APLICA",I98*8)</f>
        <v>NO APLICA</v>
      </c>
      <c r="H98" s="13" t="str">
        <f t="shared" ref="H98:H129" si="16">IF(J98="NO APLICA","NO APLICA",J98*12)</f>
        <v>NO APLICA</v>
      </c>
      <c r="I98" s="7" t="str">
        <f t="shared" ref="I98:I129" si="17">IF(E98&lt;2000,"NO APLICA",MAX(CEILING((E98*0.8)/8,10),100))</f>
        <v>NO APLICA</v>
      </c>
      <c r="J98" s="8" t="str">
        <f t="shared" ref="J98:J129" si="18">IF(E98&lt;3000,"NO APLICA",MAX(CEILING((E98*0.8)/12,10),100))</f>
        <v>NO APLICA</v>
      </c>
      <c r="K98" s="8">
        <f t="shared" ref="K98:K129" si="19">MAX(CEILING(E98/52,10),100)</f>
        <v>100</v>
      </c>
      <c r="L98" s="9"/>
      <c r="M98" s="10"/>
      <c r="O98" s="11"/>
      <c r="P98" s="12"/>
    </row>
    <row r="99" spans="1:16" ht="84.6" x14ac:dyDescent="0.35">
      <c r="A99" s="4"/>
      <c r="B99" s="5" t="s">
        <v>154</v>
      </c>
      <c r="C99" s="6" t="s">
        <v>139</v>
      </c>
      <c r="D99" s="6" t="s">
        <v>135</v>
      </c>
      <c r="E99" s="7">
        <v>2300</v>
      </c>
      <c r="F99" s="7">
        <v>1610</v>
      </c>
      <c r="G99" s="7">
        <f t="shared" si="15"/>
        <v>1840</v>
      </c>
      <c r="H99" s="13" t="str">
        <f t="shared" si="16"/>
        <v>NO APLICA</v>
      </c>
      <c r="I99" s="7">
        <f t="shared" si="17"/>
        <v>230</v>
      </c>
      <c r="J99" s="8" t="str">
        <f t="shared" si="18"/>
        <v>NO APLICA</v>
      </c>
      <c r="K99" s="8">
        <f t="shared" si="19"/>
        <v>100</v>
      </c>
      <c r="L99" s="9"/>
      <c r="M99" s="10"/>
      <c r="O99" s="11"/>
      <c r="P99" s="12"/>
    </row>
    <row r="100" spans="1:16" ht="56.4" x14ac:dyDescent="0.35">
      <c r="A100" s="4"/>
      <c r="B100" s="5" t="s">
        <v>155</v>
      </c>
      <c r="C100" s="6" t="s">
        <v>156</v>
      </c>
      <c r="D100" s="6" t="s">
        <v>157</v>
      </c>
      <c r="E100" s="7">
        <v>2000</v>
      </c>
      <c r="F100" s="7">
        <v>1400</v>
      </c>
      <c r="G100" s="7">
        <f t="shared" si="15"/>
        <v>1600</v>
      </c>
      <c r="H100" s="13" t="str">
        <f t="shared" si="16"/>
        <v>NO APLICA</v>
      </c>
      <c r="I100" s="7">
        <f t="shared" si="17"/>
        <v>200</v>
      </c>
      <c r="J100" s="8" t="str">
        <f t="shared" si="18"/>
        <v>NO APLICA</v>
      </c>
      <c r="K100" s="8">
        <f t="shared" si="19"/>
        <v>100</v>
      </c>
      <c r="L100" s="9"/>
      <c r="M100" s="10"/>
      <c r="O100" s="11"/>
      <c r="P100" s="12"/>
    </row>
    <row r="101" spans="1:16" ht="56.4" x14ac:dyDescent="0.35">
      <c r="A101" s="4"/>
      <c r="B101" s="5" t="s">
        <v>158</v>
      </c>
      <c r="C101" s="6" t="s">
        <v>156</v>
      </c>
      <c r="D101" s="6" t="s">
        <v>157</v>
      </c>
      <c r="E101" s="7">
        <v>2300</v>
      </c>
      <c r="F101" s="7">
        <v>1610</v>
      </c>
      <c r="G101" s="7">
        <f t="shared" si="15"/>
        <v>1840</v>
      </c>
      <c r="H101" s="13" t="str">
        <f t="shared" si="16"/>
        <v>NO APLICA</v>
      </c>
      <c r="I101" s="7">
        <f t="shared" si="17"/>
        <v>230</v>
      </c>
      <c r="J101" s="8" t="str">
        <f t="shared" si="18"/>
        <v>NO APLICA</v>
      </c>
      <c r="K101" s="8">
        <f t="shared" si="19"/>
        <v>100</v>
      </c>
      <c r="L101" s="9"/>
      <c r="M101" s="10"/>
      <c r="O101" s="11"/>
      <c r="P101" s="12"/>
    </row>
    <row r="102" spans="1:16" ht="56.4" x14ac:dyDescent="0.35">
      <c r="A102" s="4"/>
      <c r="B102" s="5" t="s">
        <v>159</v>
      </c>
      <c r="C102" s="6" t="s">
        <v>156</v>
      </c>
      <c r="D102" s="6" t="s">
        <v>157</v>
      </c>
      <c r="E102" s="7">
        <v>2500</v>
      </c>
      <c r="F102" s="7">
        <v>1750</v>
      </c>
      <c r="G102" s="7">
        <f t="shared" si="15"/>
        <v>2000</v>
      </c>
      <c r="H102" s="13" t="str">
        <f t="shared" si="16"/>
        <v>NO APLICA</v>
      </c>
      <c r="I102" s="7">
        <f t="shared" si="17"/>
        <v>250</v>
      </c>
      <c r="J102" s="8" t="str">
        <f t="shared" si="18"/>
        <v>NO APLICA</v>
      </c>
      <c r="K102" s="8">
        <f t="shared" si="19"/>
        <v>100</v>
      </c>
      <c r="L102" s="9"/>
      <c r="M102" s="10"/>
      <c r="O102" s="11"/>
      <c r="P102" s="12"/>
    </row>
    <row r="103" spans="1:16" ht="56.4" x14ac:dyDescent="0.35">
      <c r="A103" s="4"/>
      <c r="B103" s="5" t="s">
        <v>160</v>
      </c>
      <c r="C103" s="6" t="s">
        <v>156</v>
      </c>
      <c r="D103" s="6" t="s">
        <v>157</v>
      </c>
      <c r="E103" s="7">
        <v>995</v>
      </c>
      <c r="F103" s="7">
        <v>700</v>
      </c>
      <c r="G103" s="6" t="str">
        <f t="shared" si="15"/>
        <v>NO APLICA</v>
      </c>
      <c r="H103" s="13" t="str">
        <f t="shared" si="16"/>
        <v>NO APLICA</v>
      </c>
      <c r="I103" s="7" t="str">
        <f t="shared" si="17"/>
        <v>NO APLICA</v>
      </c>
      <c r="J103" s="8" t="str">
        <f t="shared" si="18"/>
        <v>NO APLICA</v>
      </c>
      <c r="K103" s="8">
        <f t="shared" si="19"/>
        <v>100</v>
      </c>
      <c r="L103" s="9"/>
      <c r="M103" s="10"/>
      <c r="O103" s="11"/>
      <c r="P103" s="12"/>
    </row>
    <row r="104" spans="1:16" ht="56.4" x14ac:dyDescent="0.35">
      <c r="A104" s="4"/>
      <c r="B104" s="5" t="s">
        <v>161</v>
      </c>
      <c r="C104" s="6" t="s">
        <v>156</v>
      </c>
      <c r="D104" s="6" t="s">
        <v>157</v>
      </c>
      <c r="E104" s="7">
        <v>1300</v>
      </c>
      <c r="F104" s="7">
        <v>910</v>
      </c>
      <c r="G104" s="6" t="str">
        <f t="shared" si="15"/>
        <v>NO APLICA</v>
      </c>
      <c r="H104" s="13" t="str">
        <f t="shared" si="16"/>
        <v>NO APLICA</v>
      </c>
      <c r="I104" s="7" t="str">
        <f t="shared" si="17"/>
        <v>NO APLICA</v>
      </c>
      <c r="J104" s="8" t="str">
        <f t="shared" si="18"/>
        <v>NO APLICA</v>
      </c>
      <c r="K104" s="8">
        <f t="shared" si="19"/>
        <v>100</v>
      </c>
      <c r="L104" s="9"/>
      <c r="M104" s="10"/>
      <c r="O104" s="11"/>
      <c r="P104" s="12"/>
    </row>
    <row r="105" spans="1:16" ht="56.4" x14ac:dyDescent="0.35">
      <c r="A105" s="4"/>
      <c r="B105" s="5" t="s">
        <v>162</v>
      </c>
      <c r="C105" s="6" t="s">
        <v>156</v>
      </c>
      <c r="D105" s="6" t="s">
        <v>157</v>
      </c>
      <c r="E105" s="7">
        <v>1500</v>
      </c>
      <c r="F105" s="7">
        <v>1050</v>
      </c>
      <c r="G105" s="6" t="str">
        <f t="shared" si="15"/>
        <v>NO APLICA</v>
      </c>
      <c r="H105" s="13" t="str">
        <f t="shared" si="16"/>
        <v>NO APLICA</v>
      </c>
      <c r="I105" s="7" t="str">
        <f t="shared" si="17"/>
        <v>NO APLICA</v>
      </c>
      <c r="J105" s="8" t="str">
        <f t="shared" si="18"/>
        <v>NO APLICA</v>
      </c>
      <c r="K105" s="8">
        <f t="shared" si="19"/>
        <v>100</v>
      </c>
      <c r="L105" s="9"/>
      <c r="M105" s="10"/>
      <c r="O105" s="11"/>
      <c r="P105" s="12"/>
    </row>
    <row r="106" spans="1:16" ht="56.4" x14ac:dyDescent="0.35">
      <c r="A106" s="4"/>
      <c r="B106" s="5" t="s">
        <v>163</v>
      </c>
      <c r="C106" s="6" t="s">
        <v>156</v>
      </c>
      <c r="D106" s="6" t="s">
        <v>157</v>
      </c>
      <c r="E106" s="7">
        <v>1700</v>
      </c>
      <c r="F106" s="7">
        <v>1190</v>
      </c>
      <c r="G106" s="6" t="str">
        <f t="shared" si="15"/>
        <v>NO APLICA</v>
      </c>
      <c r="H106" s="13" t="str">
        <f t="shared" si="16"/>
        <v>NO APLICA</v>
      </c>
      <c r="I106" s="7" t="str">
        <f t="shared" si="17"/>
        <v>NO APLICA</v>
      </c>
      <c r="J106" s="8" t="str">
        <f t="shared" si="18"/>
        <v>NO APLICA</v>
      </c>
      <c r="K106" s="8">
        <f t="shared" si="19"/>
        <v>100</v>
      </c>
      <c r="L106" s="9"/>
      <c r="M106" s="10"/>
      <c r="O106" s="11"/>
      <c r="P106" s="12"/>
    </row>
    <row r="107" spans="1:16" ht="56.4" x14ac:dyDescent="0.35">
      <c r="A107" s="4"/>
      <c r="B107" s="5" t="s">
        <v>164</v>
      </c>
      <c r="C107" s="6" t="s">
        <v>156</v>
      </c>
      <c r="D107" s="6" t="s">
        <v>157</v>
      </c>
      <c r="E107" s="7">
        <v>2000</v>
      </c>
      <c r="F107" s="7">
        <v>1400</v>
      </c>
      <c r="G107" s="7">
        <f t="shared" si="15"/>
        <v>1600</v>
      </c>
      <c r="H107" s="13" t="str">
        <f t="shared" si="16"/>
        <v>NO APLICA</v>
      </c>
      <c r="I107" s="7">
        <f t="shared" si="17"/>
        <v>200</v>
      </c>
      <c r="J107" s="8" t="str">
        <f t="shared" si="18"/>
        <v>NO APLICA</v>
      </c>
      <c r="K107" s="8">
        <f t="shared" si="19"/>
        <v>100</v>
      </c>
      <c r="L107" s="9"/>
      <c r="M107" s="10"/>
      <c r="O107" s="11"/>
      <c r="P107" s="12"/>
    </row>
    <row r="108" spans="1:16" ht="56.4" x14ac:dyDescent="0.35">
      <c r="A108" s="4"/>
      <c r="B108" s="5" t="s">
        <v>165</v>
      </c>
      <c r="C108" s="6" t="s">
        <v>156</v>
      </c>
      <c r="D108" s="6" t="s">
        <v>157</v>
      </c>
      <c r="E108" s="7">
        <v>2250</v>
      </c>
      <c r="F108" s="7">
        <v>1575</v>
      </c>
      <c r="G108" s="7">
        <f t="shared" si="15"/>
        <v>1840</v>
      </c>
      <c r="H108" s="13" t="str">
        <f t="shared" si="16"/>
        <v>NO APLICA</v>
      </c>
      <c r="I108" s="7">
        <f t="shared" si="17"/>
        <v>230</v>
      </c>
      <c r="J108" s="8" t="str">
        <f t="shared" si="18"/>
        <v>NO APLICA</v>
      </c>
      <c r="K108" s="8">
        <f t="shared" si="19"/>
        <v>100</v>
      </c>
      <c r="L108" s="9"/>
      <c r="M108" s="10"/>
      <c r="O108" s="11"/>
      <c r="P108" s="12"/>
    </row>
    <row r="109" spans="1:16" ht="56.4" x14ac:dyDescent="0.35">
      <c r="A109" s="4"/>
      <c r="B109" s="5" t="s">
        <v>166</v>
      </c>
      <c r="C109" s="6" t="s">
        <v>156</v>
      </c>
      <c r="D109" s="6" t="s">
        <v>157</v>
      </c>
      <c r="E109" s="7">
        <v>2500</v>
      </c>
      <c r="F109" s="7">
        <v>1750</v>
      </c>
      <c r="G109" s="7">
        <f t="shared" si="15"/>
        <v>2000</v>
      </c>
      <c r="H109" s="13" t="str">
        <f t="shared" si="16"/>
        <v>NO APLICA</v>
      </c>
      <c r="I109" s="7">
        <f t="shared" si="17"/>
        <v>250</v>
      </c>
      <c r="J109" s="8" t="str">
        <f t="shared" si="18"/>
        <v>NO APLICA</v>
      </c>
      <c r="K109" s="8">
        <f t="shared" si="19"/>
        <v>100</v>
      </c>
      <c r="L109" s="9"/>
      <c r="M109" s="10"/>
      <c r="O109" s="11"/>
      <c r="P109" s="12"/>
    </row>
    <row r="110" spans="1:16" ht="28.8" x14ac:dyDescent="0.35">
      <c r="A110" s="4"/>
      <c r="B110" s="5" t="s">
        <v>167</v>
      </c>
      <c r="C110" s="6" t="s">
        <v>156</v>
      </c>
      <c r="D110" s="6" t="s">
        <v>157</v>
      </c>
      <c r="E110" s="7">
        <v>2800</v>
      </c>
      <c r="F110" s="7">
        <v>1960</v>
      </c>
      <c r="G110" s="7">
        <f t="shared" si="15"/>
        <v>2240</v>
      </c>
      <c r="H110" s="13" t="str">
        <f t="shared" si="16"/>
        <v>NO APLICA</v>
      </c>
      <c r="I110" s="7">
        <f t="shared" si="17"/>
        <v>280</v>
      </c>
      <c r="J110" s="8" t="str">
        <f t="shared" si="18"/>
        <v>NO APLICA</v>
      </c>
      <c r="K110" s="8">
        <f t="shared" si="19"/>
        <v>100</v>
      </c>
      <c r="L110" s="9"/>
      <c r="M110" s="10"/>
      <c r="O110" s="11"/>
      <c r="P110" s="12"/>
    </row>
    <row r="111" spans="1:16" ht="28.8" x14ac:dyDescent="0.35">
      <c r="A111" s="4"/>
      <c r="B111" s="5" t="s">
        <v>168</v>
      </c>
      <c r="C111" s="6" t="s">
        <v>156</v>
      </c>
      <c r="D111" s="6" t="s">
        <v>157</v>
      </c>
      <c r="E111" s="7">
        <v>2900</v>
      </c>
      <c r="F111" s="7">
        <v>2030</v>
      </c>
      <c r="G111" s="7">
        <f t="shared" si="15"/>
        <v>2320</v>
      </c>
      <c r="H111" s="13" t="str">
        <f t="shared" si="16"/>
        <v>NO APLICA</v>
      </c>
      <c r="I111" s="7">
        <f t="shared" si="17"/>
        <v>290</v>
      </c>
      <c r="J111" s="8" t="str">
        <f t="shared" si="18"/>
        <v>NO APLICA</v>
      </c>
      <c r="K111" s="8">
        <f t="shared" si="19"/>
        <v>100</v>
      </c>
      <c r="L111" s="9"/>
      <c r="M111" s="10"/>
      <c r="O111" s="11"/>
      <c r="P111" s="12"/>
    </row>
    <row r="112" spans="1:16" ht="28.8" x14ac:dyDescent="0.35">
      <c r="A112" s="4"/>
      <c r="B112" s="5" t="s">
        <v>169</v>
      </c>
      <c r="C112" s="6" t="s">
        <v>156</v>
      </c>
      <c r="D112" s="6" t="s">
        <v>157</v>
      </c>
      <c r="E112" s="7">
        <v>3000</v>
      </c>
      <c r="F112" s="7">
        <v>2100</v>
      </c>
      <c r="G112" s="7">
        <f t="shared" si="15"/>
        <v>2400</v>
      </c>
      <c r="H112" s="8">
        <f t="shared" si="16"/>
        <v>2400</v>
      </c>
      <c r="I112" s="7">
        <f t="shared" si="17"/>
        <v>300</v>
      </c>
      <c r="J112" s="8">
        <f t="shared" si="18"/>
        <v>200</v>
      </c>
      <c r="K112" s="8">
        <f t="shared" si="19"/>
        <v>100</v>
      </c>
      <c r="L112" s="9"/>
      <c r="M112" s="10"/>
      <c r="O112" s="11"/>
      <c r="P112" s="12"/>
    </row>
    <row r="113" spans="1:16" ht="28.8" x14ac:dyDescent="0.35">
      <c r="A113" s="4"/>
      <c r="B113" s="5" t="s">
        <v>170</v>
      </c>
      <c r="C113" s="6" t="s">
        <v>156</v>
      </c>
      <c r="D113" s="6" t="s">
        <v>157</v>
      </c>
      <c r="E113" s="7">
        <v>3000</v>
      </c>
      <c r="F113" s="7">
        <v>2100</v>
      </c>
      <c r="G113" s="7">
        <f t="shared" si="15"/>
        <v>2400</v>
      </c>
      <c r="H113" s="8">
        <f t="shared" si="16"/>
        <v>2400</v>
      </c>
      <c r="I113" s="7">
        <f t="shared" si="17"/>
        <v>300</v>
      </c>
      <c r="J113" s="8">
        <f t="shared" si="18"/>
        <v>200</v>
      </c>
      <c r="K113" s="8">
        <f t="shared" si="19"/>
        <v>100</v>
      </c>
      <c r="L113" s="9"/>
      <c r="M113" s="10"/>
      <c r="O113" s="11"/>
      <c r="P113" s="12"/>
    </row>
    <row r="114" spans="1:16" ht="28.8" x14ac:dyDescent="0.35">
      <c r="A114" s="4"/>
      <c r="B114" s="5" t="s">
        <v>171</v>
      </c>
      <c r="C114" s="6" t="s">
        <v>156</v>
      </c>
      <c r="D114" s="6" t="s">
        <v>157</v>
      </c>
      <c r="E114" s="7">
        <v>3000</v>
      </c>
      <c r="F114" s="7">
        <v>2100</v>
      </c>
      <c r="G114" s="7">
        <f t="shared" si="15"/>
        <v>2400</v>
      </c>
      <c r="H114" s="8">
        <f t="shared" si="16"/>
        <v>2400</v>
      </c>
      <c r="I114" s="7">
        <f t="shared" si="17"/>
        <v>300</v>
      </c>
      <c r="J114" s="8">
        <f t="shared" si="18"/>
        <v>200</v>
      </c>
      <c r="K114" s="8">
        <f t="shared" si="19"/>
        <v>100</v>
      </c>
      <c r="L114" s="9"/>
      <c r="M114" s="10"/>
      <c r="O114" s="11"/>
      <c r="P114" s="12"/>
    </row>
    <row r="115" spans="1:16" ht="56.4" x14ac:dyDescent="0.35">
      <c r="A115" s="4"/>
      <c r="B115" s="5" t="s">
        <v>172</v>
      </c>
      <c r="C115" s="6" t="s">
        <v>156</v>
      </c>
      <c r="D115" s="6" t="s">
        <v>173</v>
      </c>
      <c r="E115" s="7">
        <v>2700</v>
      </c>
      <c r="F115" s="7">
        <v>1890</v>
      </c>
      <c r="G115" s="7">
        <f t="shared" si="15"/>
        <v>2160</v>
      </c>
      <c r="H115" s="13" t="str">
        <f t="shared" si="16"/>
        <v>NO APLICA</v>
      </c>
      <c r="I115" s="7">
        <f t="shared" si="17"/>
        <v>270</v>
      </c>
      <c r="J115" s="8" t="str">
        <f t="shared" si="18"/>
        <v>NO APLICA</v>
      </c>
      <c r="K115" s="8">
        <f t="shared" si="19"/>
        <v>100</v>
      </c>
      <c r="L115" s="9"/>
      <c r="M115" s="10"/>
      <c r="O115" s="11"/>
      <c r="P115" s="12"/>
    </row>
    <row r="116" spans="1:16" ht="56.4" x14ac:dyDescent="0.35">
      <c r="A116" s="4"/>
      <c r="B116" s="5" t="s">
        <v>174</v>
      </c>
      <c r="C116" s="6" t="s">
        <v>156</v>
      </c>
      <c r="D116" s="6" t="s">
        <v>173</v>
      </c>
      <c r="E116" s="7">
        <v>2800</v>
      </c>
      <c r="F116" s="7">
        <v>1960</v>
      </c>
      <c r="G116" s="7">
        <f t="shared" si="15"/>
        <v>2240</v>
      </c>
      <c r="H116" s="13" t="str">
        <f t="shared" si="16"/>
        <v>NO APLICA</v>
      </c>
      <c r="I116" s="7">
        <f t="shared" si="17"/>
        <v>280</v>
      </c>
      <c r="J116" s="8" t="str">
        <f t="shared" si="18"/>
        <v>NO APLICA</v>
      </c>
      <c r="K116" s="8">
        <f t="shared" si="19"/>
        <v>100</v>
      </c>
      <c r="L116" s="9"/>
      <c r="M116" s="10"/>
      <c r="O116" s="11"/>
      <c r="P116" s="12"/>
    </row>
    <row r="117" spans="1:16" ht="28.8" x14ac:dyDescent="0.35">
      <c r="A117" s="4"/>
      <c r="B117" s="5" t="s">
        <v>175</v>
      </c>
      <c r="C117" s="6" t="s">
        <v>156</v>
      </c>
      <c r="D117" s="6" t="s">
        <v>173</v>
      </c>
      <c r="E117" s="7">
        <v>3000</v>
      </c>
      <c r="F117" s="7">
        <v>2100</v>
      </c>
      <c r="G117" s="7">
        <f t="shared" si="15"/>
        <v>2400</v>
      </c>
      <c r="H117" s="8">
        <f t="shared" si="16"/>
        <v>2400</v>
      </c>
      <c r="I117" s="7">
        <f t="shared" si="17"/>
        <v>300</v>
      </c>
      <c r="J117" s="8">
        <f t="shared" si="18"/>
        <v>200</v>
      </c>
      <c r="K117" s="8">
        <f t="shared" si="19"/>
        <v>100</v>
      </c>
      <c r="L117" s="9"/>
      <c r="M117" s="10"/>
      <c r="O117" s="11"/>
      <c r="P117" s="12"/>
    </row>
    <row r="118" spans="1:16" ht="56.4" x14ac:dyDescent="0.35">
      <c r="A118" s="4"/>
      <c r="B118" s="5" t="s">
        <v>176</v>
      </c>
      <c r="C118" s="6" t="s">
        <v>156</v>
      </c>
      <c r="D118" s="6" t="s">
        <v>173</v>
      </c>
      <c r="E118" s="7">
        <v>2500</v>
      </c>
      <c r="F118" s="7">
        <v>1750</v>
      </c>
      <c r="G118" s="7">
        <f t="shared" si="15"/>
        <v>2000</v>
      </c>
      <c r="H118" s="13" t="str">
        <f t="shared" si="16"/>
        <v>NO APLICA</v>
      </c>
      <c r="I118" s="7">
        <f t="shared" si="17"/>
        <v>250</v>
      </c>
      <c r="J118" s="8" t="str">
        <f t="shared" si="18"/>
        <v>NO APLICA</v>
      </c>
      <c r="K118" s="8">
        <f t="shared" si="19"/>
        <v>100</v>
      </c>
      <c r="L118" s="9"/>
      <c r="M118" s="10"/>
      <c r="O118" s="11"/>
      <c r="P118" s="12"/>
    </row>
    <row r="119" spans="1:16" ht="28.8" x14ac:dyDescent="0.35">
      <c r="A119" s="4"/>
      <c r="B119" s="5" t="s">
        <v>177</v>
      </c>
      <c r="C119" s="6" t="s">
        <v>156</v>
      </c>
      <c r="D119" s="6" t="s">
        <v>173</v>
      </c>
      <c r="E119" s="7">
        <v>2300</v>
      </c>
      <c r="F119" s="7">
        <v>1610</v>
      </c>
      <c r="G119" s="7">
        <f t="shared" si="15"/>
        <v>1840</v>
      </c>
      <c r="H119" s="13" t="str">
        <f t="shared" si="16"/>
        <v>NO APLICA</v>
      </c>
      <c r="I119" s="7">
        <f t="shared" si="17"/>
        <v>230</v>
      </c>
      <c r="J119" s="8" t="str">
        <f t="shared" si="18"/>
        <v>NO APLICA</v>
      </c>
      <c r="K119" s="8">
        <f t="shared" si="19"/>
        <v>100</v>
      </c>
      <c r="L119" s="9"/>
      <c r="M119" s="10"/>
      <c r="O119" s="11"/>
      <c r="P119" s="12"/>
    </row>
    <row r="120" spans="1:16" ht="28.8" x14ac:dyDescent="0.35">
      <c r="A120" s="4"/>
      <c r="B120" s="5" t="s">
        <v>178</v>
      </c>
      <c r="C120" s="6" t="s">
        <v>156</v>
      </c>
      <c r="D120" s="6" t="s">
        <v>173</v>
      </c>
      <c r="E120" s="7">
        <v>2300</v>
      </c>
      <c r="F120" s="7">
        <v>1610</v>
      </c>
      <c r="G120" s="7">
        <f t="shared" si="15"/>
        <v>1840</v>
      </c>
      <c r="H120" s="13" t="str">
        <f t="shared" si="16"/>
        <v>NO APLICA</v>
      </c>
      <c r="I120" s="7">
        <f t="shared" si="17"/>
        <v>230</v>
      </c>
      <c r="J120" s="8" t="str">
        <f t="shared" si="18"/>
        <v>NO APLICA</v>
      </c>
      <c r="K120" s="8">
        <f t="shared" si="19"/>
        <v>100</v>
      </c>
      <c r="L120" s="9"/>
      <c r="M120" s="10"/>
      <c r="O120" s="11"/>
      <c r="P120" s="12"/>
    </row>
    <row r="121" spans="1:16" ht="28.8" x14ac:dyDescent="0.35">
      <c r="A121" s="4"/>
      <c r="B121" s="5" t="s">
        <v>179</v>
      </c>
      <c r="C121" s="6" t="s">
        <v>156</v>
      </c>
      <c r="D121" s="6" t="s">
        <v>173</v>
      </c>
      <c r="E121" s="7">
        <v>2800</v>
      </c>
      <c r="F121" s="7">
        <v>1960</v>
      </c>
      <c r="G121" s="7">
        <f t="shared" si="15"/>
        <v>2240</v>
      </c>
      <c r="H121" s="13" t="str">
        <f t="shared" si="16"/>
        <v>NO APLICA</v>
      </c>
      <c r="I121" s="7">
        <f t="shared" si="17"/>
        <v>280</v>
      </c>
      <c r="J121" s="8" t="str">
        <f t="shared" si="18"/>
        <v>NO APLICA</v>
      </c>
      <c r="K121" s="8">
        <f t="shared" si="19"/>
        <v>100</v>
      </c>
      <c r="L121" s="9"/>
      <c r="M121" s="10"/>
      <c r="O121" s="11"/>
      <c r="P121" s="12"/>
    </row>
    <row r="122" spans="1:16" ht="56.4" x14ac:dyDescent="0.35">
      <c r="A122" s="4"/>
      <c r="B122" s="5" t="s">
        <v>180</v>
      </c>
      <c r="C122" s="6" t="s">
        <v>156</v>
      </c>
      <c r="D122" s="6" t="s">
        <v>173</v>
      </c>
      <c r="E122" s="7">
        <v>3500</v>
      </c>
      <c r="F122" s="7">
        <v>2450</v>
      </c>
      <c r="G122" s="7">
        <f t="shared" si="15"/>
        <v>2800</v>
      </c>
      <c r="H122" s="8">
        <f t="shared" si="16"/>
        <v>2880</v>
      </c>
      <c r="I122" s="7">
        <f t="shared" si="17"/>
        <v>350</v>
      </c>
      <c r="J122" s="8">
        <f t="shared" si="18"/>
        <v>240</v>
      </c>
      <c r="K122" s="8">
        <f t="shared" si="19"/>
        <v>100</v>
      </c>
      <c r="L122" s="9"/>
      <c r="M122" s="10"/>
      <c r="O122" s="11"/>
      <c r="P122" s="12"/>
    </row>
    <row r="123" spans="1:16" ht="56.4" x14ac:dyDescent="0.35">
      <c r="A123" s="4"/>
      <c r="B123" s="5" t="s">
        <v>181</v>
      </c>
      <c r="C123" s="6" t="s">
        <v>156</v>
      </c>
      <c r="D123" s="6" t="s">
        <v>173</v>
      </c>
      <c r="E123" s="7">
        <v>5000</v>
      </c>
      <c r="F123" s="7">
        <v>3500</v>
      </c>
      <c r="G123" s="7">
        <f t="shared" si="15"/>
        <v>4000</v>
      </c>
      <c r="H123" s="8">
        <f t="shared" si="16"/>
        <v>4080</v>
      </c>
      <c r="I123" s="7">
        <f t="shared" si="17"/>
        <v>500</v>
      </c>
      <c r="J123" s="8">
        <f t="shared" si="18"/>
        <v>340</v>
      </c>
      <c r="K123" s="8">
        <f t="shared" si="19"/>
        <v>100</v>
      </c>
      <c r="L123" s="9"/>
      <c r="M123" s="10"/>
      <c r="O123" s="11"/>
      <c r="P123" s="12"/>
    </row>
    <row r="124" spans="1:16" ht="56.4" x14ac:dyDescent="0.35">
      <c r="A124" s="4"/>
      <c r="B124" s="5" t="s">
        <v>182</v>
      </c>
      <c r="C124" s="6" t="s">
        <v>156</v>
      </c>
      <c r="D124" s="6" t="s">
        <v>173</v>
      </c>
      <c r="E124" s="7">
        <v>4500</v>
      </c>
      <c r="F124" s="7">
        <v>3150</v>
      </c>
      <c r="G124" s="7">
        <f t="shared" si="15"/>
        <v>3600</v>
      </c>
      <c r="H124" s="8">
        <f t="shared" si="16"/>
        <v>3600</v>
      </c>
      <c r="I124" s="7">
        <f t="shared" si="17"/>
        <v>450</v>
      </c>
      <c r="J124" s="8">
        <f t="shared" si="18"/>
        <v>300</v>
      </c>
      <c r="K124" s="8">
        <f t="shared" si="19"/>
        <v>100</v>
      </c>
      <c r="L124" s="9"/>
      <c r="M124" s="10"/>
      <c r="O124" s="11"/>
      <c r="P124" s="12"/>
    </row>
    <row r="125" spans="1:16" ht="28.8" x14ac:dyDescent="0.35">
      <c r="A125" s="4"/>
      <c r="B125" s="5" t="s">
        <v>183</v>
      </c>
      <c r="C125" s="6" t="s">
        <v>156</v>
      </c>
      <c r="D125" s="6" t="s">
        <v>173</v>
      </c>
      <c r="E125" s="7">
        <v>2800</v>
      </c>
      <c r="F125" s="7">
        <v>1960</v>
      </c>
      <c r="G125" s="7">
        <f t="shared" si="15"/>
        <v>2240</v>
      </c>
      <c r="H125" s="13" t="str">
        <f t="shared" si="16"/>
        <v>NO APLICA</v>
      </c>
      <c r="I125" s="7">
        <f t="shared" si="17"/>
        <v>280</v>
      </c>
      <c r="J125" s="8" t="str">
        <f t="shared" si="18"/>
        <v>NO APLICA</v>
      </c>
      <c r="K125" s="8">
        <f t="shared" si="19"/>
        <v>100</v>
      </c>
      <c r="L125" s="9"/>
      <c r="M125" s="10"/>
      <c r="O125" s="11"/>
      <c r="P125" s="12"/>
    </row>
    <row r="126" spans="1:16" ht="28.8" x14ac:dyDescent="0.35">
      <c r="A126" s="4"/>
      <c r="B126" s="5" t="s">
        <v>184</v>
      </c>
      <c r="C126" s="6" t="s">
        <v>156</v>
      </c>
      <c r="D126" s="6" t="s">
        <v>173</v>
      </c>
      <c r="E126" s="7">
        <v>2600</v>
      </c>
      <c r="F126" s="7">
        <v>1820</v>
      </c>
      <c r="G126" s="7">
        <f t="shared" si="15"/>
        <v>2080</v>
      </c>
      <c r="H126" s="13" t="str">
        <f t="shared" si="16"/>
        <v>NO APLICA</v>
      </c>
      <c r="I126" s="7">
        <f t="shared" si="17"/>
        <v>260</v>
      </c>
      <c r="J126" s="8" t="str">
        <f t="shared" si="18"/>
        <v>NO APLICA</v>
      </c>
      <c r="K126" s="8">
        <f t="shared" si="19"/>
        <v>100</v>
      </c>
      <c r="L126" s="9"/>
      <c r="M126" s="10"/>
      <c r="O126" s="11"/>
      <c r="P126" s="12"/>
    </row>
    <row r="127" spans="1:16" ht="56.4" x14ac:dyDescent="0.35">
      <c r="A127" s="4"/>
      <c r="B127" s="5" t="s">
        <v>185</v>
      </c>
      <c r="C127" s="6" t="s">
        <v>156</v>
      </c>
      <c r="D127" s="6" t="s">
        <v>173</v>
      </c>
      <c r="E127" s="7">
        <v>3000</v>
      </c>
      <c r="F127" s="7">
        <v>2100</v>
      </c>
      <c r="G127" s="7">
        <f t="shared" si="15"/>
        <v>2400</v>
      </c>
      <c r="H127" s="8">
        <f t="shared" si="16"/>
        <v>2400</v>
      </c>
      <c r="I127" s="7">
        <f t="shared" si="17"/>
        <v>300</v>
      </c>
      <c r="J127" s="8">
        <f t="shared" si="18"/>
        <v>200</v>
      </c>
      <c r="K127" s="8">
        <f t="shared" si="19"/>
        <v>100</v>
      </c>
      <c r="L127" s="9"/>
      <c r="M127" s="10"/>
      <c r="O127" s="11"/>
      <c r="P127" s="12"/>
    </row>
    <row r="128" spans="1:16" ht="56.4" x14ac:dyDescent="0.35">
      <c r="A128" s="4"/>
      <c r="B128" s="5" t="s">
        <v>186</v>
      </c>
      <c r="C128" s="6" t="s">
        <v>156</v>
      </c>
      <c r="D128" s="6" t="s">
        <v>173</v>
      </c>
      <c r="E128" s="7">
        <v>4000</v>
      </c>
      <c r="F128" s="7">
        <v>2800</v>
      </c>
      <c r="G128" s="7">
        <f t="shared" si="15"/>
        <v>3200</v>
      </c>
      <c r="H128" s="8">
        <f t="shared" si="16"/>
        <v>3240</v>
      </c>
      <c r="I128" s="7">
        <f t="shared" si="17"/>
        <v>400</v>
      </c>
      <c r="J128" s="8">
        <f t="shared" si="18"/>
        <v>270</v>
      </c>
      <c r="K128" s="8">
        <f t="shared" si="19"/>
        <v>100</v>
      </c>
      <c r="L128" s="9"/>
      <c r="M128" s="10"/>
      <c r="O128" s="11"/>
      <c r="P128" s="12"/>
    </row>
    <row r="129" spans="1:16" ht="56.4" x14ac:dyDescent="0.35">
      <c r="A129" s="4"/>
      <c r="B129" s="5" t="s">
        <v>187</v>
      </c>
      <c r="C129" s="6" t="s">
        <v>156</v>
      </c>
      <c r="D129" s="6" t="s">
        <v>173</v>
      </c>
      <c r="E129" s="7">
        <v>2000</v>
      </c>
      <c r="F129" s="7">
        <v>1400</v>
      </c>
      <c r="G129" s="7">
        <f t="shared" si="15"/>
        <v>1600</v>
      </c>
      <c r="H129" s="13" t="str">
        <f t="shared" si="16"/>
        <v>NO APLICA</v>
      </c>
      <c r="I129" s="7">
        <f t="shared" si="17"/>
        <v>200</v>
      </c>
      <c r="J129" s="8" t="str">
        <f t="shared" si="18"/>
        <v>NO APLICA</v>
      </c>
      <c r="K129" s="8">
        <f t="shared" si="19"/>
        <v>100</v>
      </c>
      <c r="L129" s="9"/>
      <c r="M129" s="10"/>
      <c r="O129" s="11"/>
      <c r="P129" s="12"/>
    </row>
    <row r="130" spans="1:16" ht="28.8" x14ac:dyDescent="0.35">
      <c r="A130" s="4"/>
      <c r="B130" s="5" t="s">
        <v>188</v>
      </c>
      <c r="C130" s="6" t="s">
        <v>156</v>
      </c>
      <c r="D130" s="6" t="s">
        <v>173</v>
      </c>
      <c r="E130" s="7">
        <v>1200</v>
      </c>
      <c r="F130" s="7">
        <v>840</v>
      </c>
      <c r="G130" s="6" t="str">
        <f t="shared" ref="G130:G161" si="20">IF(I130="NO APLICA","NO APLICA",I130*8)</f>
        <v>NO APLICA</v>
      </c>
      <c r="H130" s="13" t="str">
        <f t="shared" ref="H130:H161" si="21">IF(J130="NO APLICA","NO APLICA",J130*12)</f>
        <v>NO APLICA</v>
      </c>
      <c r="I130" s="7" t="str">
        <f t="shared" ref="I130:I161" si="22">IF(E130&lt;2000,"NO APLICA",MAX(CEILING((E130*0.8)/8,10),100))</f>
        <v>NO APLICA</v>
      </c>
      <c r="J130" s="8" t="str">
        <f t="shared" ref="J130:J161" si="23">IF(E130&lt;3000,"NO APLICA",MAX(CEILING((E130*0.8)/12,10),100))</f>
        <v>NO APLICA</v>
      </c>
      <c r="K130" s="8">
        <f t="shared" ref="K130:K161" si="24">MAX(CEILING(E130/52,10),100)</f>
        <v>100</v>
      </c>
      <c r="L130" s="9"/>
      <c r="M130" s="10"/>
      <c r="O130" s="11"/>
      <c r="P130" s="12"/>
    </row>
    <row r="131" spans="1:16" ht="56.4" x14ac:dyDescent="0.35">
      <c r="A131" s="4"/>
      <c r="B131" s="5" t="s">
        <v>189</v>
      </c>
      <c r="C131" s="6" t="s">
        <v>156</v>
      </c>
      <c r="D131" s="6" t="s">
        <v>173</v>
      </c>
      <c r="E131" s="7">
        <v>3000</v>
      </c>
      <c r="F131" s="7">
        <v>2100</v>
      </c>
      <c r="G131" s="7">
        <f t="shared" si="20"/>
        <v>2400</v>
      </c>
      <c r="H131" s="8">
        <f t="shared" si="21"/>
        <v>2400</v>
      </c>
      <c r="I131" s="7">
        <f t="shared" si="22"/>
        <v>300</v>
      </c>
      <c r="J131" s="8">
        <f t="shared" si="23"/>
        <v>200</v>
      </c>
      <c r="K131" s="8">
        <f t="shared" si="24"/>
        <v>100</v>
      </c>
      <c r="L131" s="9"/>
      <c r="M131" s="10"/>
      <c r="O131" s="11"/>
      <c r="P131" s="12"/>
    </row>
    <row r="132" spans="1:16" ht="28.8" x14ac:dyDescent="0.35">
      <c r="A132" s="4"/>
      <c r="B132" s="5" t="s">
        <v>190</v>
      </c>
      <c r="C132" s="6" t="s">
        <v>156</v>
      </c>
      <c r="D132" s="6" t="s">
        <v>173</v>
      </c>
      <c r="E132" s="7">
        <v>1800</v>
      </c>
      <c r="F132" s="7">
        <v>1260</v>
      </c>
      <c r="G132" s="6" t="str">
        <f t="shared" si="20"/>
        <v>NO APLICA</v>
      </c>
      <c r="H132" s="13" t="str">
        <f t="shared" si="21"/>
        <v>NO APLICA</v>
      </c>
      <c r="I132" s="7" t="str">
        <f t="shared" si="22"/>
        <v>NO APLICA</v>
      </c>
      <c r="J132" s="8" t="str">
        <f t="shared" si="23"/>
        <v>NO APLICA</v>
      </c>
      <c r="K132" s="8">
        <f t="shared" si="24"/>
        <v>100</v>
      </c>
      <c r="L132" s="9"/>
      <c r="M132" s="10"/>
      <c r="O132" s="11"/>
      <c r="P132" s="12"/>
    </row>
    <row r="133" spans="1:16" ht="28.8" x14ac:dyDescent="0.35">
      <c r="A133" s="4"/>
      <c r="B133" s="5" t="s">
        <v>191</v>
      </c>
      <c r="C133" s="6" t="s">
        <v>156</v>
      </c>
      <c r="D133" s="6" t="s">
        <v>173</v>
      </c>
      <c r="E133" s="7">
        <v>7200</v>
      </c>
      <c r="F133" s="7">
        <v>5040</v>
      </c>
      <c r="G133" s="7">
        <f t="shared" si="20"/>
        <v>5760</v>
      </c>
      <c r="H133" s="8">
        <f t="shared" si="21"/>
        <v>5760</v>
      </c>
      <c r="I133" s="7">
        <f t="shared" si="22"/>
        <v>720</v>
      </c>
      <c r="J133" s="8">
        <f t="shared" si="23"/>
        <v>480</v>
      </c>
      <c r="K133" s="8">
        <f t="shared" si="24"/>
        <v>140</v>
      </c>
      <c r="L133" s="9"/>
      <c r="M133" s="10"/>
      <c r="O133" s="11"/>
      <c r="P133" s="12"/>
    </row>
    <row r="134" spans="1:16" ht="56.4" x14ac:dyDescent="0.35">
      <c r="A134" s="4"/>
      <c r="B134" s="5" t="s">
        <v>192</v>
      </c>
      <c r="C134" s="6" t="s">
        <v>156</v>
      </c>
      <c r="D134" s="6" t="s">
        <v>173</v>
      </c>
      <c r="E134" s="7">
        <v>6750</v>
      </c>
      <c r="F134" s="7">
        <v>4725</v>
      </c>
      <c r="G134" s="7">
        <f t="shared" si="20"/>
        <v>5440</v>
      </c>
      <c r="H134" s="8">
        <f t="shared" si="21"/>
        <v>5400</v>
      </c>
      <c r="I134" s="7">
        <f t="shared" si="22"/>
        <v>680</v>
      </c>
      <c r="J134" s="8">
        <f t="shared" si="23"/>
        <v>450</v>
      </c>
      <c r="K134" s="8">
        <f t="shared" si="24"/>
        <v>130</v>
      </c>
      <c r="L134" s="9"/>
      <c r="M134" s="10"/>
      <c r="O134" s="11"/>
      <c r="P134" s="12"/>
    </row>
    <row r="135" spans="1:16" ht="28.8" x14ac:dyDescent="0.35">
      <c r="A135" s="4"/>
      <c r="B135" s="5" t="s">
        <v>193</v>
      </c>
      <c r="C135" s="6" t="s">
        <v>156</v>
      </c>
      <c r="D135" s="6" t="s">
        <v>173</v>
      </c>
      <c r="E135" s="7">
        <v>3995</v>
      </c>
      <c r="F135" s="7">
        <v>2800</v>
      </c>
      <c r="G135" s="7">
        <f t="shared" si="20"/>
        <v>3200</v>
      </c>
      <c r="H135" s="8">
        <f t="shared" si="21"/>
        <v>3240</v>
      </c>
      <c r="I135" s="7">
        <f t="shared" si="22"/>
        <v>400</v>
      </c>
      <c r="J135" s="8">
        <f t="shared" si="23"/>
        <v>270</v>
      </c>
      <c r="K135" s="8">
        <f t="shared" si="24"/>
        <v>100</v>
      </c>
      <c r="L135" s="9"/>
      <c r="M135" s="10"/>
      <c r="O135" s="11"/>
      <c r="P135" s="12"/>
    </row>
    <row r="136" spans="1:16" ht="28.8" x14ac:dyDescent="0.35">
      <c r="A136" s="4"/>
      <c r="B136" s="5" t="s">
        <v>194</v>
      </c>
      <c r="C136" s="6" t="s">
        <v>156</v>
      </c>
      <c r="D136" s="6" t="s">
        <v>173</v>
      </c>
      <c r="E136" s="7">
        <v>2995</v>
      </c>
      <c r="F136" s="7">
        <v>2100</v>
      </c>
      <c r="G136" s="7">
        <f t="shared" si="20"/>
        <v>2400</v>
      </c>
      <c r="H136" s="13" t="str">
        <f t="shared" si="21"/>
        <v>NO APLICA</v>
      </c>
      <c r="I136" s="7">
        <f t="shared" si="22"/>
        <v>300</v>
      </c>
      <c r="J136" s="8" t="str">
        <f t="shared" si="23"/>
        <v>NO APLICA</v>
      </c>
      <c r="K136" s="8">
        <f t="shared" si="24"/>
        <v>100</v>
      </c>
      <c r="L136" s="9"/>
      <c r="M136" s="10"/>
      <c r="O136" s="11"/>
      <c r="P136" s="12"/>
    </row>
    <row r="137" spans="1:16" ht="28.8" x14ac:dyDescent="0.35">
      <c r="A137" s="4"/>
      <c r="B137" s="5" t="s">
        <v>195</v>
      </c>
      <c r="C137" s="6" t="s">
        <v>156</v>
      </c>
      <c r="D137" s="6" t="s">
        <v>173</v>
      </c>
      <c r="E137" s="7">
        <v>2500</v>
      </c>
      <c r="F137" s="7">
        <v>1750</v>
      </c>
      <c r="G137" s="7">
        <f t="shared" si="20"/>
        <v>2000</v>
      </c>
      <c r="H137" s="13" t="str">
        <f t="shared" si="21"/>
        <v>NO APLICA</v>
      </c>
      <c r="I137" s="7">
        <f t="shared" si="22"/>
        <v>250</v>
      </c>
      <c r="J137" s="8" t="str">
        <f t="shared" si="23"/>
        <v>NO APLICA</v>
      </c>
      <c r="K137" s="8">
        <f t="shared" si="24"/>
        <v>100</v>
      </c>
      <c r="L137" s="9"/>
      <c r="M137" s="10"/>
      <c r="O137" s="11"/>
      <c r="P137" s="12"/>
    </row>
    <row r="138" spans="1:16" ht="28.8" x14ac:dyDescent="0.35">
      <c r="A138" s="4"/>
      <c r="B138" s="5" t="s">
        <v>196</v>
      </c>
      <c r="C138" s="6" t="s">
        <v>156</v>
      </c>
      <c r="D138" s="6" t="s">
        <v>173</v>
      </c>
      <c r="E138" s="7">
        <v>3000</v>
      </c>
      <c r="F138" s="7">
        <v>2100</v>
      </c>
      <c r="G138" s="7">
        <f t="shared" si="20"/>
        <v>2400</v>
      </c>
      <c r="H138" s="8">
        <f t="shared" si="21"/>
        <v>2400</v>
      </c>
      <c r="I138" s="7">
        <f t="shared" si="22"/>
        <v>300</v>
      </c>
      <c r="J138" s="8">
        <f t="shared" si="23"/>
        <v>200</v>
      </c>
      <c r="K138" s="8">
        <f t="shared" si="24"/>
        <v>100</v>
      </c>
      <c r="L138" s="9"/>
      <c r="M138" s="10"/>
      <c r="O138" s="11"/>
      <c r="P138" s="12"/>
    </row>
    <row r="139" spans="1:16" ht="56.4" x14ac:dyDescent="0.35">
      <c r="A139" s="4"/>
      <c r="B139" s="5" t="s">
        <v>197</v>
      </c>
      <c r="C139" s="6" t="s">
        <v>156</v>
      </c>
      <c r="D139" s="6" t="s">
        <v>173</v>
      </c>
      <c r="E139" s="7">
        <v>6000</v>
      </c>
      <c r="F139" s="7">
        <v>4200</v>
      </c>
      <c r="G139" s="7">
        <f t="shared" si="20"/>
        <v>4800</v>
      </c>
      <c r="H139" s="8">
        <f t="shared" si="21"/>
        <v>4800</v>
      </c>
      <c r="I139" s="7">
        <f t="shared" si="22"/>
        <v>600</v>
      </c>
      <c r="J139" s="8">
        <f t="shared" si="23"/>
        <v>400</v>
      </c>
      <c r="K139" s="8">
        <f t="shared" si="24"/>
        <v>120</v>
      </c>
      <c r="L139" s="9"/>
      <c r="M139" s="10"/>
      <c r="O139" s="11"/>
      <c r="P139" s="12"/>
    </row>
    <row r="140" spans="1:16" ht="56.4" x14ac:dyDescent="0.35">
      <c r="A140" s="4"/>
      <c r="B140" s="5" t="s">
        <v>198</v>
      </c>
      <c r="C140" s="6" t="s">
        <v>199</v>
      </c>
      <c r="D140" s="6" t="s">
        <v>173</v>
      </c>
      <c r="E140" s="7">
        <v>7000</v>
      </c>
      <c r="F140" s="7">
        <v>4900</v>
      </c>
      <c r="G140" s="7">
        <f t="shared" si="20"/>
        <v>5600</v>
      </c>
      <c r="H140" s="8">
        <f t="shared" si="21"/>
        <v>5640</v>
      </c>
      <c r="I140" s="7">
        <f t="shared" si="22"/>
        <v>700</v>
      </c>
      <c r="J140" s="8">
        <f t="shared" si="23"/>
        <v>470</v>
      </c>
      <c r="K140" s="8">
        <f t="shared" si="24"/>
        <v>140</v>
      </c>
      <c r="L140" s="9"/>
      <c r="M140" s="10"/>
      <c r="O140" s="11"/>
      <c r="P140" s="12"/>
    </row>
    <row r="141" spans="1:16" ht="56.4" x14ac:dyDescent="0.35">
      <c r="A141" s="4"/>
      <c r="B141" s="5" t="s">
        <v>200</v>
      </c>
      <c r="C141" s="6" t="s">
        <v>156</v>
      </c>
      <c r="D141" s="6" t="s">
        <v>173</v>
      </c>
      <c r="E141" s="7">
        <v>8000</v>
      </c>
      <c r="F141" s="7">
        <v>5600</v>
      </c>
      <c r="G141" s="7">
        <f t="shared" si="20"/>
        <v>6400</v>
      </c>
      <c r="H141" s="8">
        <f t="shared" si="21"/>
        <v>6480</v>
      </c>
      <c r="I141" s="7">
        <f t="shared" si="22"/>
        <v>800</v>
      </c>
      <c r="J141" s="8">
        <f t="shared" si="23"/>
        <v>540</v>
      </c>
      <c r="K141" s="8">
        <f t="shared" si="24"/>
        <v>160</v>
      </c>
      <c r="L141" s="9"/>
      <c r="M141" s="10"/>
      <c r="O141" s="11"/>
      <c r="P141" s="12"/>
    </row>
    <row r="142" spans="1:16" ht="28.8" x14ac:dyDescent="0.35">
      <c r="A142" s="4"/>
      <c r="B142" s="5" t="s">
        <v>201</v>
      </c>
      <c r="C142" s="6" t="s">
        <v>202</v>
      </c>
      <c r="D142" s="6" t="s">
        <v>203</v>
      </c>
      <c r="E142" s="7">
        <v>6000</v>
      </c>
      <c r="F142" s="7">
        <v>4200</v>
      </c>
      <c r="G142" s="7">
        <f t="shared" si="20"/>
        <v>4800</v>
      </c>
      <c r="H142" s="8">
        <f t="shared" si="21"/>
        <v>4800</v>
      </c>
      <c r="I142" s="7">
        <f t="shared" si="22"/>
        <v>600</v>
      </c>
      <c r="J142" s="8">
        <f t="shared" si="23"/>
        <v>400</v>
      </c>
      <c r="K142" s="8">
        <f t="shared" si="24"/>
        <v>120</v>
      </c>
      <c r="L142" s="9"/>
      <c r="M142" s="10"/>
      <c r="O142" s="11"/>
      <c r="P142" s="12"/>
    </row>
    <row r="143" spans="1:16" ht="56.4" x14ac:dyDescent="0.35">
      <c r="A143" s="4"/>
      <c r="B143" s="5" t="s">
        <v>204</v>
      </c>
      <c r="C143" s="6" t="s">
        <v>156</v>
      </c>
      <c r="D143" s="6" t="s">
        <v>173</v>
      </c>
      <c r="E143" s="7">
        <v>1400</v>
      </c>
      <c r="F143" s="7">
        <v>980</v>
      </c>
      <c r="G143" s="6" t="str">
        <f t="shared" si="20"/>
        <v>NO APLICA</v>
      </c>
      <c r="H143" s="13" t="str">
        <f t="shared" si="21"/>
        <v>NO APLICA</v>
      </c>
      <c r="I143" s="7" t="str">
        <f t="shared" si="22"/>
        <v>NO APLICA</v>
      </c>
      <c r="J143" s="8" t="str">
        <f t="shared" si="23"/>
        <v>NO APLICA</v>
      </c>
      <c r="K143" s="8">
        <f t="shared" si="24"/>
        <v>100</v>
      </c>
      <c r="L143" s="9"/>
      <c r="M143" s="10"/>
      <c r="O143" s="11"/>
      <c r="P143" s="12"/>
    </row>
    <row r="144" spans="1:16" ht="56.4" x14ac:dyDescent="0.35">
      <c r="A144" s="4"/>
      <c r="B144" s="5" t="s">
        <v>205</v>
      </c>
      <c r="C144" s="6" t="s">
        <v>156</v>
      </c>
      <c r="D144" s="6" t="s">
        <v>173</v>
      </c>
      <c r="E144" s="7">
        <v>7800</v>
      </c>
      <c r="F144" s="7">
        <v>5460</v>
      </c>
      <c r="G144" s="7">
        <f t="shared" si="20"/>
        <v>6240</v>
      </c>
      <c r="H144" s="8">
        <f t="shared" si="21"/>
        <v>6240</v>
      </c>
      <c r="I144" s="7">
        <f t="shared" si="22"/>
        <v>780</v>
      </c>
      <c r="J144" s="8">
        <f t="shared" si="23"/>
        <v>520</v>
      </c>
      <c r="K144" s="8">
        <f t="shared" si="24"/>
        <v>150</v>
      </c>
      <c r="L144" s="9"/>
      <c r="M144" s="10"/>
      <c r="O144" s="11"/>
      <c r="P144" s="12"/>
    </row>
    <row r="145" spans="1:16" ht="56.4" x14ac:dyDescent="0.35">
      <c r="A145" s="4"/>
      <c r="B145" s="5" t="s">
        <v>206</v>
      </c>
      <c r="C145" s="6" t="s">
        <v>156</v>
      </c>
      <c r="D145" s="6" t="s">
        <v>173</v>
      </c>
      <c r="E145" s="7">
        <v>8400</v>
      </c>
      <c r="F145" s="7">
        <v>5880</v>
      </c>
      <c r="G145" s="7">
        <f t="shared" si="20"/>
        <v>6720</v>
      </c>
      <c r="H145" s="8">
        <f t="shared" si="21"/>
        <v>6720</v>
      </c>
      <c r="I145" s="7">
        <f t="shared" si="22"/>
        <v>840</v>
      </c>
      <c r="J145" s="8">
        <f t="shared" si="23"/>
        <v>560</v>
      </c>
      <c r="K145" s="8">
        <f t="shared" si="24"/>
        <v>170</v>
      </c>
      <c r="L145" s="9"/>
      <c r="M145" s="10"/>
      <c r="O145" s="11"/>
      <c r="P145" s="12"/>
    </row>
    <row r="146" spans="1:16" ht="28.8" x14ac:dyDescent="0.35">
      <c r="A146" s="4"/>
      <c r="B146" s="5" t="s">
        <v>207</v>
      </c>
      <c r="C146" s="6" t="s">
        <v>208</v>
      </c>
      <c r="D146" s="6" t="s">
        <v>209</v>
      </c>
      <c r="E146" s="7">
        <v>9000</v>
      </c>
      <c r="F146" s="7">
        <v>6300</v>
      </c>
      <c r="G146" s="7">
        <f t="shared" si="20"/>
        <v>7200</v>
      </c>
      <c r="H146" s="8">
        <f t="shared" si="21"/>
        <v>7200</v>
      </c>
      <c r="I146" s="7">
        <f t="shared" si="22"/>
        <v>900</v>
      </c>
      <c r="J146" s="8">
        <f t="shared" si="23"/>
        <v>600</v>
      </c>
      <c r="K146" s="8">
        <f t="shared" si="24"/>
        <v>180</v>
      </c>
      <c r="L146" s="9"/>
      <c r="M146" s="10"/>
      <c r="O146" s="11"/>
      <c r="P146" s="12"/>
    </row>
    <row r="147" spans="1:16" ht="28.8" x14ac:dyDescent="0.35">
      <c r="A147" s="4"/>
      <c r="B147" s="5" t="s">
        <v>210</v>
      </c>
      <c r="C147" s="6" t="s">
        <v>211</v>
      </c>
      <c r="D147" s="6" t="s">
        <v>209</v>
      </c>
      <c r="E147" s="7">
        <v>10500</v>
      </c>
      <c r="F147" s="7">
        <v>7350</v>
      </c>
      <c r="G147" s="7">
        <f t="shared" si="20"/>
        <v>8400</v>
      </c>
      <c r="H147" s="8">
        <f t="shared" si="21"/>
        <v>8400</v>
      </c>
      <c r="I147" s="7">
        <f t="shared" si="22"/>
        <v>1050</v>
      </c>
      <c r="J147" s="8">
        <f t="shared" si="23"/>
        <v>700</v>
      </c>
      <c r="K147" s="8">
        <f t="shared" si="24"/>
        <v>210</v>
      </c>
      <c r="L147" s="9"/>
      <c r="M147" s="10"/>
      <c r="O147" s="11"/>
      <c r="P147" s="12"/>
    </row>
    <row r="148" spans="1:16" ht="28.8" x14ac:dyDescent="0.35">
      <c r="A148" s="4"/>
      <c r="B148" s="5" t="s">
        <v>212</v>
      </c>
      <c r="C148" s="6" t="s">
        <v>211</v>
      </c>
      <c r="D148" s="6" t="s">
        <v>209</v>
      </c>
      <c r="E148" s="7">
        <v>10500</v>
      </c>
      <c r="F148" s="7">
        <v>7350</v>
      </c>
      <c r="G148" s="7">
        <f t="shared" si="20"/>
        <v>8400</v>
      </c>
      <c r="H148" s="8">
        <f t="shared" si="21"/>
        <v>8400</v>
      </c>
      <c r="I148" s="7">
        <f t="shared" si="22"/>
        <v>1050</v>
      </c>
      <c r="J148" s="8">
        <f t="shared" si="23"/>
        <v>700</v>
      </c>
      <c r="K148" s="8">
        <f t="shared" si="24"/>
        <v>210</v>
      </c>
      <c r="L148" s="9"/>
      <c r="M148" s="10"/>
      <c r="O148" s="11"/>
      <c r="P148" s="12"/>
    </row>
    <row r="149" spans="1:16" ht="28.8" x14ac:dyDescent="0.35">
      <c r="A149" s="4"/>
      <c r="B149" s="5" t="s">
        <v>213</v>
      </c>
      <c r="C149" s="6" t="s">
        <v>211</v>
      </c>
      <c r="D149" s="6" t="s">
        <v>209</v>
      </c>
      <c r="E149" s="7">
        <v>12000</v>
      </c>
      <c r="F149" s="7">
        <v>8400</v>
      </c>
      <c r="G149" s="7">
        <f t="shared" si="20"/>
        <v>9600</v>
      </c>
      <c r="H149" s="8">
        <f t="shared" si="21"/>
        <v>9600</v>
      </c>
      <c r="I149" s="7">
        <f t="shared" si="22"/>
        <v>1200</v>
      </c>
      <c r="J149" s="8">
        <f t="shared" si="23"/>
        <v>800</v>
      </c>
      <c r="K149" s="8">
        <f t="shared" si="24"/>
        <v>240</v>
      </c>
      <c r="L149" s="9"/>
      <c r="M149" s="10"/>
      <c r="O149" s="11"/>
      <c r="P149" s="12"/>
    </row>
    <row r="150" spans="1:16" ht="28.8" x14ac:dyDescent="0.35">
      <c r="A150" s="4"/>
      <c r="B150" s="5" t="s">
        <v>214</v>
      </c>
      <c r="C150" s="6" t="s">
        <v>211</v>
      </c>
      <c r="D150" s="6" t="s">
        <v>209</v>
      </c>
      <c r="E150" s="7">
        <v>12500</v>
      </c>
      <c r="F150" s="7">
        <v>8750</v>
      </c>
      <c r="G150" s="7">
        <f t="shared" si="20"/>
        <v>10000</v>
      </c>
      <c r="H150" s="8">
        <f t="shared" si="21"/>
        <v>10080</v>
      </c>
      <c r="I150" s="7">
        <f t="shared" si="22"/>
        <v>1250</v>
      </c>
      <c r="J150" s="8">
        <f t="shared" si="23"/>
        <v>840</v>
      </c>
      <c r="K150" s="8">
        <f t="shared" si="24"/>
        <v>250</v>
      </c>
      <c r="L150" s="9"/>
      <c r="M150" s="10"/>
      <c r="O150" s="11"/>
      <c r="P150" s="12"/>
    </row>
    <row r="151" spans="1:16" ht="56.4" x14ac:dyDescent="0.35">
      <c r="A151" s="4"/>
      <c r="B151" s="5" t="s">
        <v>215</v>
      </c>
      <c r="C151" s="6" t="s">
        <v>211</v>
      </c>
      <c r="D151" s="6" t="s">
        <v>209</v>
      </c>
      <c r="E151" s="7">
        <v>15000</v>
      </c>
      <c r="F151" s="7">
        <v>10500</v>
      </c>
      <c r="G151" s="7">
        <f t="shared" si="20"/>
        <v>12000</v>
      </c>
      <c r="H151" s="8">
        <f t="shared" si="21"/>
        <v>12000</v>
      </c>
      <c r="I151" s="7">
        <f t="shared" si="22"/>
        <v>1500</v>
      </c>
      <c r="J151" s="8">
        <f t="shared" si="23"/>
        <v>1000</v>
      </c>
      <c r="K151" s="8">
        <f t="shared" si="24"/>
        <v>290</v>
      </c>
      <c r="L151" s="9"/>
      <c r="M151" s="10"/>
      <c r="O151" s="11"/>
      <c r="P151" s="12"/>
    </row>
    <row r="152" spans="1:16" ht="56.4" x14ac:dyDescent="0.35">
      <c r="A152" s="4"/>
      <c r="B152" s="5" t="s">
        <v>216</v>
      </c>
      <c r="C152" s="6" t="s">
        <v>211</v>
      </c>
      <c r="D152" s="6" t="s">
        <v>209</v>
      </c>
      <c r="E152" s="7">
        <v>14000</v>
      </c>
      <c r="F152" s="7">
        <v>9000</v>
      </c>
      <c r="G152" s="7">
        <f t="shared" si="20"/>
        <v>11200</v>
      </c>
      <c r="H152" s="8">
        <f t="shared" si="21"/>
        <v>11280</v>
      </c>
      <c r="I152" s="7">
        <f t="shared" si="22"/>
        <v>1400</v>
      </c>
      <c r="J152" s="8">
        <f t="shared" si="23"/>
        <v>940</v>
      </c>
      <c r="K152" s="8">
        <f t="shared" si="24"/>
        <v>270</v>
      </c>
      <c r="L152" s="9"/>
      <c r="M152" s="10"/>
      <c r="O152" s="11"/>
      <c r="P152" s="12"/>
    </row>
    <row r="153" spans="1:16" ht="28.8" x14ac:dyDescent="0.35">
      <c r="A153" s="4"/>
      <c r="B153" s="5" t="s">
        <v>217</v>
      </c>
      <c r="C153" s="6" t="s">
        <v>211</v>
      </c>
      <c r="D153" s="6" t="s">
        <v>209</v>
      </c>
      <c r="E153" s="7">
        <v>9500</v>
      </c>
      <c r="F153" s="7">
        <v>6650</v>
      </c>
      <c r="G153" s="7">
        <f t="shared" si="20"/>
        <v>7600</v>
      </c>
      <c r="H153" s="8">
        <f t="shared" si="21"/>
        <v>7680</v>
      </c>
      <c r="I153" s="7">
        <f t="shared" si="22"/>
        <v>950</v>
      </c>
      <c r="J153" s="8">
        <f t="shared" si="23"/>
        <v>640</v>
      </c>
      <c r="K153" s="8">
        <f t="shared" si="24"/>
        <v>190</v>
      </c>
      <c r="L153" s="9"/>
      <c r="M153" s="10"/>
      <c r="O153" s="11"/>
      <c r="P153" s="12"/>
    </row>
    <row r="154" spans="1:16" ht="28.8" x14ac:dyDescent="0.35">
      <c r="A154" s="4"/>
      <c r="B154" s="5" t="s">
        <v>218</v>
      </c>
      <c r="C154" s="6" t="s">
        <v>211</v>
      </c>
      <c r="D154" s="6" t="s">
        <v>209</v>
      </c>
      <c r="E154" s="7">
        <v>10500</v>
      </c>
      <c r="F154" s="7">
        <v>7350</v>
      </c>
      <c r="G154" s="7">
        <f t="shared" si="20"/>
        <v>8400</v>
      </c>
      <c r="H154" s="8">
        <f t="shared" si="21"/>
        <v>8400</v>
      </c>
      <c r="I154" s="7">
        <f t="shared" si="22"/>
        <v>1050</v>
      </c>
      <c r="J154" s="8">
        <f t="shared" si="23"/>
        <v>700</v>
      </c>
      <c r="K154" s="8">
        <f t="shared" si="24"/>
        <v>210</v>
      </c>
      <c r="L154" s="9"/>
      <c r="M154" s="10"/>
      <c r="O154" s="11"/>
      <c r="P154" s="12"/>
    </row>
    <row r="155" spans="1:16" ht="28.8" x14ac:dyDescent="0.35">
      <c r="A155" s="4"/>
      <c r="B155" s="5" t="s">
        <v>219</v>
      </c>
      <c r="C155" s="6" t="s">
        <v>211</v>
      </c>
      <c r="D155" s="6" t="s">
        <v>209</v>
      </c>
      <c r="E155" s="7">
        <v>9500</v>
      </c>
      <c r="F155" s="7">
        <v>6650</v>
      </c>
      <c r="G155" s="7">
        <f t="shared" si="20"/>
        <v>7600</v>
      </c>
      <c r="H155" s="8">
        <f t="shared" si="21"/>
        <v>7680</v>
      </c>
      <c r="I155" s="7">
        <f t="shared" si="22"/>
        <v>950</v>
      </c>
      <c r="J155" s="8">
        <f t="shared" si="23"/>
        <v>640</v>
      </c>
      <c r="K155" s="8">
        <f t="shared" si="24"/>
        <v>190</v>
      </c>
      <c r="L155" s="9"/>
      <c r="M155" s="10"/>
      <c r="O155" s="11"/>
      <c r="P155" s="12"/>
    </row>
    <row r="156" spans="1:16" ht="56.4" x14ac:dyDescent="0.35">
      <c r="A156" s="4"/>
      <c r="B156" s="5" t="s">
        <v>220</v>
      </c>
      <c r="C156" s="6" t="s">
        <v>221</v>
      </c>
      <c r="D156" s="6" t="s">
        <v>209</v>
      </c>
      <c r="E156" s="7">
        <v>5000</v>
      </c>
      <c r="F156" s="7">
        <v>3500</v>
      </c>
      <c r="G156" s="7">
        <f t="shared" si="20"/>
        <v>4000</v>
      </c>
      <c r="H156" s="8">
        <f t="shared" si="21"/>
        <v>4080</v>
      </c>
      <c r="I156" s="7">
        <f t="shared" si="22"/>
        <v>500</v>
      </c>
      <c r="J156" s="8">
        <f t="shared" si="23"/>
        <v>340</v>
      </c>
      <c r="K156" s="8">
        <f t="shared" si="24"/>
        <v>100</v>
      </c>
      <c r="L156" s="9"/>
      <c r="M156" s="10"/>
      <c r="O156" s="11"/>
      <c r="P156" s="12"/>
    </row>
    <row r="157" spans="1:16" ht="56.4" x14ac:dyDescent="0.35">
      <c r="A157" s="4"/>
      <c r="B157" s="5" t="s">
        <v>222</v>
      </c>
      <c r="C157" s="6" t="s">
        <v>221</v>
      </c>
      <c r="D157" s="6" t="s">
        <v>209</v>
      </c>
      <c r="E157" s="7">
        <v>5500</v>
      </c>
      <c r="F157" s="7">
        <v>3850</v>
      </c>
      <c r="G157" s="7">
        <f t="shared" si="20"/>
        <v>4400</v>
      </c>
      <c r="H157" s="8">
        <f t="shared" si="21"/>
        <v>4440</v>
      </c>
      <c r="I157" s="7">
        <f t="shared" si="22"/>
        <v>550</v>
      </c>
      <c r="J157" s="8">
        <f t="shared" si="23"/>
        <v>370</v>
      </c>
      <c r="K157" s="8">
        <f t="shared" si="24"/>
        <v>110</v>
      </c>
      <c r="L157" s="9"/>
      <c r="M157" s="10"/>
      <c r="O157" s="11"/>
      <c r="P157" s="12"/>
    </row>
    <row r="158" spans="1:16" ht="56.4" x14ac:dyDescent="0.35">
      <c r="A158" s="4"/>
      <c r="B158" s="5" t="s">
        <v>223</v>
      </c>
      <c r="C158" s="6" t="s">
        <v>211</v>
      </c>
      <c r="D158" s="6" t="s">
        <v>209</v>
      </c>
      <c r="E158" s="7">
        <v>9000</v>
      </c>
      <c r="F158" s="7">
        <v>6300</v>
      </c>
      <c r="G158" s="7">
        <f t="shared" si="20"/>
        <v>7200</v>
      </c>
      <c r="H158" s="8">
        <f t="shared" si="21"/>
        <v>7200</v>
      </c>
      <c r="I158" s="7">
        <f t="shared" si="22"/>
        <v>900</v>
      </c>
      <c r="J158" s="8">
        <f t="shared" si="23"/>
        <v>600</v>
      </c>
      <c r="K158" s="8">
        <f t="shared" si="24"/>
        <v>180</v>
      </c>
      <c r="L158" s="9"/>
      <c r="M158" s="10"/>
      <c r="O158" s="11"/>
      <c r="P158" s="12"/>
    </row>
    <row r="159" spans="1:16" ht="56.4" x14ac:dyDescent="0.35">
      <c r="A159" s="4"/>
      <c r="B159" s="5" t="s">
        <v>224</v>
      </c>
      <c r="C159" s="6" t="s">
        <v>211</v>
      </c>
      <c r="D159" s="6" t="s">
        <v>209</v>
      </c>
      <c r="E159" s="7">
        <v>9500</v>
      </c>
      <c r="F159" s="7">
        <v>6650</v>
      </c>
      <c r="G159" s="7">
        <f t="shared" si="20"/>
        <v>7600</v>
      </c>
      <c r="H159" s="8">
        <f t="shared" si="21"/>
        <v>7680</v>
      </c>
      <c r="I159" s="7">
        <f t="shared" si="22"/>
        <v>950</v>
      </c>
      <c r="J159" s="8">
        <f t="shared" si="23"/>
        <v>640</v>
      </c>
      <c r="K159" s="8">
        <f t="shared" si="24"/>
        <v>190</v>
      </c>
      <c r="L159" s="9"/>
      <c r="M159" s="10"/>
      <c r="O159" s="11"/>
      <c r="P159" s="12"/>
    </row>
    <row r="160" spans="1:16" ht="56.4" x14ac:dyDescent="0.35">
      <c r="A160" s="4"/>
      <c r="B160" s="5" t="s">
        <v>225</v>
      </c>
      <c r="C160" s="6" t="s">
        <v>211</v>
      </c>
      <c r="D160" s="6" t="s">
        <v>209</v>
      </c>
      <c r="E160" s="7">
        <v>8900</v>
      </c>
      <c r="F160" s="7">
        <v>6230</v>
      </c>
      <c r="G160" s="7">
        <f t="shared" si="20"/>
        <v>7120</v>
      </c>
      <c r="H160" s="8">
        <f t="shared" si="21"/>
        <v>7200</v>
      </c>
      <c r="I160" s="7">
        <f t="shared" si="22"/>
        <v>890</v>
      </c>
      <c r="J160" s="8">
        <f t="shared" si="23"/>
        <v>600</v>
      </c>
      <c r="K160" s="8">
        <f t="shared" si="24"/>
        <v>180</v>
      </c>
      <c r="L160" s="9"/>
      <c r="M160" s="10"/>
      <c r="O160" s="11"/>
      <c r="P160" s="12"/>
    </row>
    <row r="161" spans="1:16" ht="56.4" x14ac:dyDescent="0.35">
      <c r="A161" s="4"/>
      <c r="B161" s="5" t="s">
        <v>226</v>
      </c>
      <c r="C161" s="6" t="s">
        <v>211</v>
      </c>
      <c r="D161" s="6" t="s">
        <v>209</v>
      </c>
      <c r="E161" s="7">
        <v>10000</v>
      </c>
      <c r="F161" s="7">
        <v>7000</v>
      </c>
      <c r="G161" s="7">
        <f t="shared" si="20"/>
        <v>8000</v>
      </c>
      <c r="H161" s="8">
        <f t="shared" si="21"/>
        <v>8040</v>
      </c>
      <c r="I161" s="7">
        <f t="shared" si="22"/>
        <v>1000</v>
      </c>
      <c r="J161" s="8">
        <f t="shared" si="23"/>
        <v>670</v>
      </c>
      <c r="K161" s="8">
        <f t="shared" si="24"/>
        <v>200</v>
      </c>
      <c r="L161" s="9"/>
      <c r="M161" s="10"/>
      <c r="O161" s="11"/>
      <c r="P161" s="12"/>
    </row>
    <row r="162" spans="1:16" ht="56.4" x14ac:dyDescent="0.35">
      <c r="A162" s="4"/>
      <c r="B162" s="5" t="s">
        <v>227</v>
      </c>
      <c r="C162" s="6" t="s">
        <v>208</v>
      </c>
      <c r="D162" s="6" t="s">
        <v>209</v>
      </c>
      <c r="E162" s="7">
        <v>12500</v>
      </c>
      <c r="F162" s="7">
        <v>8750</v>
      </c>
      <c r="G162" s="7">
        <f t="shared" ref="G162:G181" si="25">IF(I162="NO APLICA","NO APLICA",I162*8)</f>
        <v>10000</v>
      </c>
      <c r="H162" s="8">
        <f t="shared" ref="H162:H181" si="26">IF(J162="NO APLICA","NO APLICA",J162*12)</f>
        <v>10080</v>
      </c>
      <c r="I162" s="7">
        <f t="shared" ref="I162:I181" si="27">IF(E162&lt;2000,"NO APLICA",MAX(CEILING((E162*0.8)/8,10),100))</f>
        <v>1250</v>
      </c>
      <c r="J162" s="8">
        <f t="shared" ref="J162:J181" si="28">IF(E162&lt;3000,"NO APLICA",MAX(CEILING((E162*0.8)/12,10),100))</f>
        <v>840</v>
      </c>
      <c r="K162" s="8">
        <f t="shared" ref="K162:K181" si="29">MAX(CEILING(E162/52,10),100)</f>
        <v>250</v>
      </c>
      <c r="L162" s="9"/>
      <c r="M162" s="10"/>
      <c r="O162" s="11"/>
      <c r="P162" s="12"/>
    </row>
    <row r="163" spans="1:16" ht="56.4" x14ac:dyDescent="0.35">
      <c r="A163" s="4"/>
      <c r="B163" s="5" t="s">
        <v>228</v>
      </c>
      <c r="C163" s="6" t="s">
        <v>211</v>
      </c>
      <c r="D163" s="6" t="s">
        <v>209</v>
      </c>
      <c r="E163" s="7">
        <v>6300</v>
      </c>
      <c r="F163" s="7">
        <v>4410</v>
      </c>
      <c r="G163" s="7">
        <f t="shared" si="25"/>
        <v>5040</v>
      </c>
      <c r="H163" s="8">
        <f t="shared" si="26"/>
        <v>5040</v>
      </c>
      <c r="I163" s="7">
        <f t="shared" si="27"/>
        <v>630</v>
      </c>
      <c r="J163" s="8">
        <f t="shared" si="28"/>
        <v>420</v>
      </c>
      <c r="K163" s="8">
        <f t="shared" si="29"/>
        <v>130</v>
      </c>
      <c r="L163" s="9"/>
      <c r="M163" s="10"/>
      <c r="O163" s="11"/>
      <c r="P163" s="12"/>
    </row>
    <row r="164" spans="1:16" ht="56.4" x14ac:dyDescent="0.35">
      <c r="A164" s="4"/>
      <c r="B164" s="5" t="s">
        <v>229</v>
      </c>
      <c r="C164" s="6" t="s">
        <v>211</v>
      </c>
      <c r="D164" s="6" t="s">
        <v>209</v>
      </c>
      <c r="E164" s="7">
        <v>18000</v>
      </c>
      <c r="F164" s="7">
        <v>12600</v>
      </c>
      <c r="G164" s="7">
        <f t="shared" si="25"/>
        <v>14400</v>
      </c>
      <c r="H164" s="8">
        <f t="shared" si="26"/>
        <v>14400</v>
      </c>
      <c r="I164" s="7">
        <f t="shared" si="27"/>
        <v>1800</v>
      </c>
      <c r="J164" s="8">
        <f t="shared" si="28"/>
        <v>1200</v>
      </c>
      <c r="K164" s="8">
        <f t="shared" si="29"/>
        <v>350</v>
      </c>
      <c r="L164" s="9"/>
      <c r="M164" s="10"/>
      <c r="O164" s="11"/>
      <c r="P164" s="12"/>
    </row>
    <row r="165" spans="1:16" ht="28.8" x14ac:dyDescent="0.35">
      <c r="A165" s="4"/>
      <c r="B165" s="5" t="s">
        <v>230</v>
      </c>
      <c r="C165" s="6" t="s">
        <v>211</v>
      </c>
      <c r="D165" s="6" t="s">
        <v>209</v>
      </c>
      <c r="E165" s="7">
        <v>17000</v>
      </c>
      <c r="F165" s="7">
        <v>11900</v>
      </c>
      <c r="G165" s="7">
        <f t="shared" si="25"/>
        <v>13600</v>
      </c>
      <c r="H165" s="8">
        <f t="shared" si="26"/>
        <v>13680</v>
      </c>
      <c r="I165" s="7">
        <f t="shared" si="27"/>
        <v>1700</v>
      </c>
      <c r="J165" s="8">
        <f t="shared" si="28"/>
        <v>1140</v>
      </c>
      <c r="K165" s="8">
        <f t="shared" si="29"/>
        <v>330</v>
      </c>
      <c r="L165" s="9"/>
      <c r="M165" s="10"/>
      <c r="O165" s="11"/>
      <c r="P165" s="12"/>
    </row>
    <row r="166" spans="1:16" ht="56.4" x14ac:dyDescent="0.35">
      <c r="A166" s="4"/>
      <c r="B166" s="5" t="s">
        <v>231</v>
      </c>
      <c r="C166" s="6" t="s">
        <v>232</v>
      </c>
      <c r="D166" s="6" t="s">
        <v>233</v>
      </c>
      <c r="E166" s="7">
        <v>15995</v>
      </c>
      <c r="F166" s="7">
        <v>11200</v>
      </c>
      <c r="G166" s="7">
        <f t="shared" si="25"/>
        <v>12800</v>
      </c>
      <c r="H166" s="8">
        <f t="shared" si="26"/>
        <v>12840</v>
      </c>
      <c r="I166" s="7">
        <f t="shared" si="27"/>
        <v>1600</v>
      </c>
      <c r="J166" s="8">
        <f t="shared" si="28"/>
        <v>1070</v>
      </c>
      <c r="K166" s="8">
        <f t="shared" si="29"/>
        <v>310</v>
      </c>
      <c r="L166" s="9"/>
      <c r="M166" s="10"/>
      <c r="O166" s="11"/>
      <c r="P166" s="12"/>
    </row>
    <row r="167" spans="1:16" ht="84.6" x14ac:dyDescent="0.35">
      <c r="A167" s="4"/>
      <c r="B167" s="5" t="s">
        <v>234</v>
      </c>
      <c r="C167" s="6" t="s">
        <v>232</v>
      </c>
      <c r="D167" s="6" t="s">
        <v>233</v>
      </c>
      <c r="E167" s="7">
        <v>19995</v>
      </c>
      <c r="F167" s="7">
        <v>14000</v>
      </c>
      <c r="G167" s="7">
        <f t="shared" si="25"/>
        <v>16000</v>
      </c>
      <c r="H167" s="8">
        <f t="shared" si="26"/>
        <v>16080</v>
      </c>
      <c r="I167" s="7">
        <f t="shared" si="27"/>
        <v>2000</v>
      </c>
      <c r="J167" s="8">
        <f t="shared" si="28"/>
        <v>1340</v>
      </c>
      <c r="K167" s="8">
        <f t="shared" si="29"/>
        <v>390</v>
      </c>
      <c r="L167" s="9"/>
      <c r="M167" s="10"/>
      <c r="O167" s="11"/>
      <c r="P167" s="12"/>
    </row>
    <row r="168" spans="1:16" ht="28.8" x14ac:dyDescent="0.35">
      <c r="A168" s="4"/>
      <c r="B168" s="5" t="s">
        <v>235</v>
      </c>
      <c r="C168" s="6" t="s">
        <v>236</v>
      </c>
      <c r="D168" s="6" t="s">
        <v>233</v>
      </c>
      <c r="E168" s="7">
        <v>8900</v>
      </c>
      <c r="F168" s="7">
        <v>6230</v>
      </c>
      <c r="G168" s="7">
        <f t="shared" si="25"/>
        <v>7120</v>
      </c>
      <c r="H168" s="8">
        <f t="shared" si="26"/>
        <v>7200</v>
      </c>
      <c r="I168" s="7">
        <f t="shared" si="27"/>
        <v>890</v>
      </c>
      <c r="J168" s="8">
        <f t="shared" si="28"/>
        <v>600</v>
      </c>
      <c r="K168" s="8">
        <f t="shared" si="29"/>
        <v>180</v>
      </c>
      <c r="L168" s="9"/>
      <c r="M168" s="10"/>
      <c r="O168" s="11"/>
      <c r="P168" s="12"/>
    </row>
    <row r="169" spans="1:16" ht="28.8" x14ac:dyDescent="0.35">
      <c r="A169" s="4"/>
      <c r="B169" s="5" t="s">
        <v>237</v>
      </c>
      <c r="C169" s="6" t="s">
        <v>238</v>
      </c>
      <c r="D169" s="6" t="s">
        <v>233</v>
      </c>
      <c r="E169" s="7">
        <v>12500</v>
      </c>
      <c r="F169" s="7">
        <v>8750</v>
      </c>
      <c r="G169" s="7">
        <f t="shared" si="25"/>
        <v>10000</v>
      </c>
      <c r="H169" s="8">
        <f t="shared" si="26"/>
        <v>10080</v>
      </c>
      <c r="I169" s="7">
        <f t="shared" si="27"/>
        <v>1250</v>
      </c>
      <c r="J169" s="8">
        <f t="shared" si="28"/>
        <v>840</v>
      </c>
      <c r="K169" s="8">
        <f t="shared" si="29"/>
        <v>250</v>
      </c>
      <c r="L169" s="9"/>
      <c r="M169" s="10"/>
      <c r="O169" s="11"/>
      <c r="P169" s="12"/>
    </row>
    <row r="170" spans="1:16" ht="28.8" x14ac:dyDescent="0.35">
      <c r="A170" s="4"/>
      <c r="B170" s="5" t="s">
        <v>239</v>
      </c>
      <c r="C170" s="6" t="s">
        <v>240</v>
      </c>
      <c r="D170" s="6" t="s">
        <v>233</v>
      </c>
      <c r="E170" s="7">
        <v>14995</v>
      </c>
      <c r="F170" s="7">
        <v>10500</v>
      </c>
      <c r="G170" s="7">
        <f t="shared" si="25"/>
        <v>12000</v>
      </c>
      <c r="H170" s="8">
        <f t="shared" si="26"/>
        <v>12000</v>
      </c>
      <c r="I170" s="7">
        <f t="shared" si="27"/>
        <v>1500</v>
      </c>
      <c r="J170" s="8">
        <f t="shared" si="28"/>
        <v>1000</v>
      </c>
      <c r="K170" s="8">
        <f t="shared" si="29"/>
        <v>290</v>
      </c>
      <c r="L170" s="9"/>
      <c r="M170" s="10"/>
      <c r="O170" s="11"/>
      <c r="P170" s="12"/>
    </row>
    <row r="171" spans="1:16" ht="28.8" x14ac:dyDescent="0.35">
      <c r="A171" s="4"/>
      <c r="B171" s="5" t="s">
        <v>241</v>
      </c>
      <c r="C171" s="6" t="s">
        <v>236</v>
      </c>
      <c r="D171" s="6" t="s">
        <v>233</v>
      </c>
      <c r="E171" s="7">
        <v>16000</v>
      </c>
      <c r="F171" s="7">
        <v>11200</v>
      </c>
      <c r="G171" s="7">
        <f t="shared" si="25"/>
        <v>12800</v>
      </c>
      <c r="H171" s="8">
        <f t="shared" si="26"/>
        <v>12840</v>
      </c>
      <c r="I171" s="7">
        <f t="shared" si="27"/>
        <v>1600</v>
      </c>
      <c r="J171" s="8">
        <f t="shared" si="28"/>
        <v>1070</v>
      </c>
      <c r="K171" s="8">
        <f t="shared" si="29"/>
        <v>310</v>
      </c>
      <c r="L171" s="9"/>
      <c r="M171" s="10"/>
      <c r="O171" s="11"/>
      <c r="P171" s="12"/>
    </row>
    <row r="172" spans="1:16" ht="28.8" x14ac:dyDescent="0.35">
      <c r="A172" s="4"/>
      <c r="B172" s="5" t="s">
        <v>242</v>
      </c>
      <c r="C172" s="6" t="s">
        <v>243</v>
      </c>
      <c r="D172" s="6" t="s">
        <v>233</v>
      </c>
      <c r="E172" s="7">
        <v>13500</v>
      </c>
      <c r="F172" s="7">
        <v>9450</v>
      </c>
      <c r="G172" s="7">
        <f t="shared" si="25"/>
        <v>10800</v>
      </c>
      <c r="H172" s="8">
        <f t="shared" si="26"/>
        <v>10800</v>
      </c>
      <c r="I172" s="7">
        <f t="shared" si="27"/>
        <v>1350</v>
      </c>
      <c r="J172" s="8">
        <f t="shared" si="28"/>
        <v>900</v>
      </c>
      <c r="K172" s="8">
        <f t="shared" si="29"/>
        <v>260</v>
      </c>
      <c r="L172" s="9"/>
      <c r="M172" s="10"/>
      <c r="O172" s="11"/>
      <c r="P172" s="12"/>
    </row>
    <row r="173" spans="1:16" ht="28.8" x14ac:dyDescent="0.35">
      <c r="A173" s="4"/>
      <c r="B173" s="5" t="s">
        <v>244</v>
      </c>
      <c r="C173" s="6" t="s">
        <v>245</v>
      </c>
      <c r="D173" s="6" t="s">
        <v>203</v>
      </c>
      <c r="E173" s="7">
        <v>17400</v>
      </c>
      <c r="F173" s="7">
        <v>12200</v>
      </c>
      <c r="G173" s="7">
        <f t="shared" si="25"/>
        <v>13920</v>
      </c>
      <c r="H173" s="8">
        <f t="shared" si="26"/>
        <v>13920</v>
      </c>
      <c r="I173" s="7">
        <f t="shared" si="27"/>
        <v>1740</v>
      </c>
      <c r="J173" s="8">
        <f t="shared" si="28"/>
        <v>1160</v>
      </c>
      <c r="K173" s="8">
        <f t="shared" si="29"/>
        <v>340</v>
      </c>
      <c r="L173" s="9"/>
      <c r="M173" s="10"/>
      <c r="O173" s="11"/>
      <c r="P173" s="12"/>
    </row>
    <row r="174" spans="1:16" ht="28.8" x14ac:dyDescent="0.35">
      <c r="A174" s="4"/>
      <c r="B174" s="5" t="s">
        <v>246</v>
      </c>
      <c r="C174" s="6" t="s">
        <v>245</v>
      </c>
      <c r="D174" s="6" t="s">
        <v>203</v>
      </c>
      <c r="E174" s="7">
        <v>12350</v>
      </c>
      <c r="F174" s="7">
        <v>8650</v>
      </c>
      <c r="G174" s="7">
        <f t="shared" si="25"/>
        <v>9920</v>
      </c>
      <c r="H174" s="8">
        <f t="shared" si="26"/>
        <v>9960</v>
      </c>
      <c r="I174" s="7">
        <f t="shared" si="27"/>
        <v>1240</v>
      </c>
      <c r="J174" s="8">
        <f t="shared" si="28"/>
        <v>830</v>
      </c>
      <c r="K174" s="8">
        <f t="shared" si="29"/>
        <v>240</v>
      </c>
      <c r="L174" s="9"/>
      <c r="M174" s="10"/>
      <c r="O174" s="11"/>
      <c r="P174" s="12"/>
    </row>
    <row r="175" spans="1:16" ht="56.4" x14ac:dyDescent="0.35">
      <c r="A175" s="4"/>
      <c r="B175" s="5" t="s">
        <v>247</v>
      </c>
      <c r="C175" s="6" t="s">
        <v>236</v>
      </c>
      <c r="D175" s="6" t="s">
        <v>233</v>
      </c>
      <c r="E175" s="7">
        <v>19935</v>
      </c>
      <c r="F175" s="7">
        <v>13950</v>
      </c>
      <c r="G175" s="7">
        <f t="shared" si="25"/>
        <v>16000</v>
      </c>
      <c r="H175" s="8">
        <f t="shared" si="26"/>
        <v>15960</v>
      </c>
      <c r="I175" s="7">
        <f t="shared" si="27"/>
        <v>2000</v>
      </c>
      <c r="J175" s="8">
        <f t="shared" si="28"/>
        <v>1330</v>
      </c>
      <c r="K175" s="8">
        <f t="shared" si="29"/>
        <v>390</v>
      </c>
      <c r="L175" s="9"/>
      <c r="M175" s="10"/>
      <c r="O175" s="11"/>
      <c r="P175" s="12"/>
    </row>
    <row r="176" spans="1:16" ht="28.8" x14ac:dyDescent="0.35">
      <c r="A176" s="4"/>
      <c r="B176" s="5" t="s">
        <v>248</v>
      </c>
      <c r="C176" s="6" t="s">
        <v>249</v>
      </c>
      <c r="D176" s="6" t="s">
        <v>250</v>
      </c>
      <c r="E176" s="7">
        <v>7800</v>
      </c>
      <c r="F176" s="7">
        <v>5460</v>
      </c>
      <c r="G176" s="7">
        <f t="shared" si="25"/>
        <v>6240</v>
      </c>
      <c r="H176" s="8">
        <f t="shared" si="26"/>
        <v>6240</v>
      </c>
      <c r="I176" s="7">
        <f t="shared" si="27"/>
        <v>780</v>
      </c>
      <c r="J176" s="8">
        <f t="shared" si="28"/>
        <v>520</v>
      </c>
      <c r="K176" s="8">
        <f t="shared" si="29"/>
        <v>150</v>
      </c>
      <c r="L176" s="9"/>
      <c r="M176" s="10"/>
      <c r="O176" s="11"/>
      <c r="P176" s="12"/>
    </row>
    <row r="177" spans="1:16" ht="28.8" x14ac:dyDescent="0.35">
      <c r="A177" s="4"/>
      <c r="B177" s="5" t="s">
        <v>251</v>
      </c>
      <c r="C177" s="6" t="s">
        <v>249</v>
      </c>
      <c r="D177" s="6" t="s">
        <v>250</v>
      </c>
      <c r="E177" s="7">
        <v>10000</v>
      </c>
      <c r="F177" s="7">
        <v>7000</v>
      </c>
      <c r="G177" s="7">
        <f t="shared" si="25"/>
        <v>8000</v>
      </c>
      <c r="H177" s="8">
        <f t="shared" si="26"/>
        <v>8040</v>
      </c>
      <c r="I177" s="7">
        <f t="shared" si="27"/>
        <v>1000</v>
      </c>
      <c r="J177" s="8">
        <f t="shared" si="28"/>
        <v>670</v>
      </c>
      <c r="K177" s="8">
        <f t="shared" si="29"/>
        <v>200</v>
      </c>
      <c r="L177" s="9"/>
      <c r="M177" s="10"/>
      <c r="O177" s="11"/>
      <c r="P177" s="12"/>
    </row>
    <row r="178" spans="1:16" ht="28.8" x14ac:dyDescent="0.35">
      <c r="A178" s="4"/>
      <c r="B178" s="5" t="s">
        <v>252</v>
      </c>
      <c r="C178" s="6" t="s">
        <v>249</v>
      </c>
      <c r="D178" s="6" t="s">
        <v>250</v>
      </c>
      <c r="E178" s="7">
        <v>13995</v>
      </c>
      <c r="F178" s="7">
        <v>9800</v>
      </c>
      <c r="G178" s="7">
        <f t="shared" si="25"/>
        <v>11200</v>
      </c>
      <c r="H178" s="8">
        <f t="shared" si="26"/>
        <v>11280</v>
      </c>
      <c r="I178" s="7">
        <f t="shared" si="27"/>
        <v>1400</v>
      </c>
      <c r="J178" s="8">
        <f t="shared" si="28"/>
        <v>940</v>
      </c>
      <c r="K178" s="8">
        <f t="shared" si="29"/>
        <v>270</v>
      </c>
      <c r="L178" s="9"/>
      <c r="M178" s="10"/>
      <c r="O178" s="11"/>
      <c r="P178" s="12"/>
    </row>
    <row r="179" spans="1:16" ht="56.4" x14ac:dyDescent="0.35">
      <c r="A179" s="4"/>
      <c r="B179" s="5" t="s">
        <v>253</v>
      </c>
      <c r="C179" s="6" t="s">
        <v>254</v>
      </c>
      <c r="D179" s="6" t="s">
        <v>250</v>
      </c>
      <c r="E179" s="7">
        <v>8500</v>
      </c>
      <c r="F179" s="7">
        <v>5950</v>
      </c>
      <c r="G179" s="7">
        <f t="shared" si="25"/>
        <v>6800</v>
      </c>
      <c r="H179" s="8">
        <f t="shared" si="26"/>
        <v>6840</v>
      </c>
      <c r="I179" s="7">
        <f t="shared" si="27"/>
        <v>850</v>
      </c>
      <c r="J179" s="8">
        <f t="shared" si="28"/>
        <v>570</v>
      </c>
      <c r="K179" s="8">
        <f t="shared" si="29"/>
        <v>170</v>
      </c>
      <c r="L179" s="9"/>
      <c r="M179" s="10"/>
      <c r="O179" s="11"/>
      <c r="P179" s="12"/>
    </row>
    <row r="180" spans="1:16" ht="56.4" x14ac:dyDescent="0.35">
      <c r="A180" s="4"/>
      <c r="B180" s="5" t="s">
        <v>255</v>
      </c>
      <c r="C180" s="6" t="s">
        <v>254</v>
      </c>
      <c r="D180" s="6" t="s">
        <v>250</v>
      </c>
      <c r="E180" s="7">
        <v>10750</v>
      </c>
      <c r="F180" s="7">
        <v>7525</v>
      </c>
      <c r="G180" s="7">
        <f t="shared" si="25"/>
        <v>8640</v>
      </c>
      <c r="H180" s="8">
        <f t="shared" si="26"/>
        <v>8640</v>
      </c>
      <c r="I180" s="7">
        <f t="shared" si="27"/>
        <v>1080</v>
      </c>
      <c r="J180" s="8">
        <f t="shared" si="28"/>
        <v>720</v>
      </c>
      <c r="K180" s="8">
        <f t="shared" si="29"/>
        <v>210</v>
      </c>
      <c r="L180" s="9"/>
      <c r="M180" s="10"/>
      <c r="O180" s="11"/>
      <c r="P180" s="12"/>
    </row>
    <row r="181" spans="1:16" ht="56.4" x14ac:dyDescent="0.35">
      <c r="A181" s="4"/>
      <c r="B181" s="5" t="s">
        <v>256</v>
      </c>
      <c r="C181" s="6" t="s">
        <v>254</v>
      </c>
      <c r="D181" s="6" t="s">
        <v>250</v>
      </c>
      <c r="E181" s="7">
        <v>15000</v>
      </c>
      <c r="F181" s="7">
        <v>10500</v>
      </c>
      <c r="G181" s="7">
        <f t="shared" si="25"/>
        <v>12000</v>
      </c>
      <c r="H181" s="8">
        <f t="shared" si="26"/>
        <v>12000</v>
      </c>
      <c r="I181" s="7">
        <f t="shared" si="27"/>
        <v>1500</v>
      </c>
      <c r="J181" s="8">
        <f t="shared" si="28"/>
        <v>1000</v>
      </c>
      <c r="K181" s="8">
        <f t="shared" si="29"/>
        <v>290</v>
      </c>
      <c r="L181" s="9"/>
      <c r="M181" s="10"/>
      <c r="O181" s="11"/>
      <c r="P181" s="12"/>
    </row>
    <row r="182" spans="1:16" x14ac:dyDescent="0.3">
      <c r="A182" s="4"/>
      <c r="B182" s="1"/>
      <c r="D182" s="1"/>
      <c r="E182" s="1"/>
      <c r="F182" s="1"/>
      <c r="G182" s="1"/>
      <c r="H182" s="1"/>
      <c r="I18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3"/>
  <sheetViews>
    <sheetView tabSelected="1" topLeftCell="A130" zoomScale="79" zoomScaleNormal="79" workbookViewId="0">
      <selection activeCell="A154" sqref="A154"/>
    </sheetView>
  </sheetViews>
  <sheetFormatPr baseColWidth="10" defaultColWidth="8.88671875" defaultRowHeight="13.8" x14ac:dyDescent="0.3"/>
  <cols>
    <col min="1" max="1" width="24.33203125" bestFit="1" customWidth="1"/>
    <col min="2" max="2" width="16" customWidth="1"/>
    <col min="3" max="3" width="22.33203125" bestFit="1" customWidth="1"/>
    <col min="4" max="4" width="19.33203125" customWidth="1"/>
    <col min="5" max="5" width="15.109375" bestFit="1" customWidth="1"/>
    <col min="6" max="6" width="15.44140625" bestFit="1" customWidth="1"/>
    <col min="7" max="7" width="15.77734375" bestFit="1" customWidth="1"/>
    <col min="8" max="8" width="55.77734375" customWidth="1"/>
    <col min="9" max="9" width="46.21875" bestFit="1" customWidth="1"/>
    <col min="10" max="10" width="19.33203125" customWidth="1"/>
    <col min="11" max="11" width="19.109375" bestFit="1" customWidth="1"/>
    <col min="12" max="12" width="18.33203125" customWidth="1"/>
    <col min="13" max="13" width="20.88671875" customWidth="1"/>
    <col min="14" max="14" width="19" bestFit="1" customWidth="1"/>
    <col min="15" max="15" width="18.109375" customWidth="1"/>
    <col min="16" max="16" width="15.6640625" customWidth="1"/>
    <col min="17" max="17" width="29" bestFit="1" customWidth="1"/>
    <col min="18" max="18" width="26.21875" bestFit="1" customWidth="1"/>
    <col min="19" max="19" width="15.6640625" customWidth="1"/>
    <col min="20" max="20" width="29" bestFit="1" customWidth="1"/>
    <col min="21" max="21" width="26.21875" bestFit="1" customWidth="1"/>
    <col min="22" max="22" width="20" customWidth="1"/>
    <col min="23" max="23" width="25" customWidth="1"/>
    <col min="24" max="24" width="31" bestFit="1" customWidth="1"/>
  </cols>
  <sheetData>
    <row r="1" spans="1:25" ht="25.65" customHeight="1" x14ac:dyDescent="0.3">
      <c r="A1" s="34" t="s">
        <v>257</v>
      </c>
      <c r="B1" s="34" t="s">
        <v>258</v>
      </c>
      <c r="C1" s="34" t="s">
        <v>259</v>
      </c>
      <c r="D1" s="35" t="s">
        <v>326</v>
      </c>
      <c r="E1" s="35" t="s">
        <v>360</v>
      </c>
      <c r="F1" s="35" t="s">
        <v>309</v>
      </c>
      <c r="G1" s="35" t="s">
        <v>361</v>
      </c>
      <c r="H1" s="34" t="s">
        <v>260</v>
      </c>
      <c r="I1" s="34" t="s">
        <v>261</v>
      </c>
      <c r="J1" s="34" t="s">
        <v>262</v>
      </c>
      <c r="K1" s="34" t="s">
        <v>263</v>
      </c>
      <c r="L1" s="34" t="s">
        <v>264</v>
      </c>
      <c r="M1" s="35" t="s">
        <v>509</v>
      </c>
      <c r="N1" s="35" t="s">
        <v>510</v>
      </c>
      <c r="O1" s="34" t="s">
        <v>265</v>
      </c>
      <c r="P1" s="34" t="s">
        <v>266</v>
      </c>
      <c r="Q1" s="34" t="s">
        <v>267</v>
      </c>
      <c r="R1" s="34" t="s">
        <v>268</v>
      </c>
      <c r="S1" s="34" t="s">
        <v>269</v>
      </c>
      <c r="T1" s="34" t="s">
        <v>270</v>
      </c>
      <c r="U1" s="34" t="s">
        <v>271</v>
      </c>
      <c r="V1" s="34" t="s">
        <v>272</v>
      </c>
      <c r="W1" s="34" t="s">
        <v>273</v>
      </c>
      <c r="X1" s="34" t="s">
        <v>274</v>
      </c>
      <c r="Y1" s="34" t="s">
        <v>275</v>
      </c>
    </row>
    <row r="2" spans="1:25" ht="15.6" x14ac:dyDescent="0.3">
      <c r="A2" s="19" t="str">
        <f>IF(OR(E2="",F2="",G2=""),"",E2&amp;"-"&amp;F2&amp;"-"&amp;G2&amp;"-"&amp;TEXT(COUNTIFS($E$2:E2,E2,$F$2:F2,F2,$G$2:G2,G2),"000"))</f>
        <v>MOB-SIL-PSL-001</v>
      </c>
      <c r="B2" s="19" t="s">
        <v>19</v>
      </c>
      <c r="C2" s="19" t="s">
        <v>318</v>
      </c>
      <c r="D2" s="19" t="s">
        <v>328</v>
      </c>
      <c r="E2" s="19" t="str">
        <f>_xlfn.XLOOKUP(B2,Configuración!A:A,Configuración!B:B,"")</f>
        <v>MOB</v>
      </c>
      <c r="F2" s="19" t="str" cm="1">
        <f t="array" ref="F2">IF($C2="","",_xlfn.XLOOKUP(1,(Configuración!D:D=$B2)*(Configuración!E:E=$C2),Configuración!F:F,""))</f>
        <v>SIL</v>
      </c>
      <c r="G2" s="19" t="str">
        <f>IF($D2="","",_xlfn.XLOOKUP($D2,Configuración!H:H,Configuración!I:I,""))</f>
        <v>PSL</v>
      </c>
      <c r="H2" s="19" t="s">
        <v>124</v>
      </c>
      <c r="I2" s="19" t="s">
        <v>124</v>
      </c>
      <c r="J2" s="19" t="s">
        <v>120</v>
      </c>
      <c r="K2" s="19" t="s">
        <v>276</v>
      </c>
      <c r="L2" s="20">
        <v>1670</v>
      </c>
      <c r="M2" s="20">
        <f t="shared" ref="M2:M33" si="0">MAX(CEILING(L2/4,10),100)</f>
        <v>420</v>
      </c>
      <c r="N2" s="20">
        <f t="shared" ref="N2:N33" si="1">M2*4</f>
        <v>1680</v>
      </c>
      <c r="O2" s="20">
        <v>2380</v>
      </c>
      <c r="P2" s="19" t="str">
        <f>IF($O2&lt;Configuración!$B$7,"NO","SI")</f>
        <v>SI</v>
      </c>
      <c r="Q2" s="20">
        <f>IF($P2="NO","NO APLICA",MAX(CEILING(($O2*(1-Configuración!$B$2))/Configuración!$B$3,Configuración!$B$6),Configuración!$B$5))</f>
        <v>240</v>
      </c>
      <c r="R2" s="20">
        <f>IF($Q2="NO APLICA","NO APLICA",$Q2*Configuración!$B$3)</f>
        <v>1920</v>
      </c>
      <c r="S2" s="19" t="str">
        <f>IF($O2&lt;Configuración!$B$8,"NO","SI")</f>
        <v>NO</v>
      </c>
      <c r="T2" s="20" t="str">
        <f>IF($S2="NO","NO APLICA",MAX(CEILING(($O2*(1-Configuración!$B$2))/Configuración!$B$4,Configuración!$B$6),Configuración!$B$5))</f>
        <v>NO APLICA</v>
      </c>
      <c r="U2" s="20" t="str">
        <f>IF($T2="NO APLICA","NO APLICA",$T2*Configuración!$B$4)</f>
        <v>NO APLICA</v>
      </c>
      <c r="V2" s="20">
        <f>MAX(CEILING($O2/Configuración!$B$9,Configuración!$B$6),Configuración!$B$5)</f>
        <v>100</v>
      </c>
      <c r="W2" s="19" t="s">
        <v>277</v>
      </c>
      <c r="X2" s="33">
        <v>46079</v>
      </c>
      <c r="Y2" s="17"/>
    </row>
    <row r="3" spans="1:25" ht="15.6" x14ac:dyDescent="0.3">
      <c r="A3" s="19" t="str">
        <f>IF(OR(E3="",F3="",G3=""),"",E3&amp;"-"&amp;F3&amp;"-"&amp;G3&amp;"-"&amp;TEXT(COUNTIFS($E$2:E3,E3,$F$2:F3,F3,$G$2:G3,G3),"000"))</f>
        <v>MOB-SIL-PSL-002</v>
      </c>
      <c r="B3" s="19" t="s">
        <v>19</v>
      </c>
      <c r="C3" s="19" t="s">
        <v>318</v>
      </c>
      <c r="D3" s="19" t="s">
        <v>328</v>
      </c>
      <c r="E3" s="19" t="str">
        <f>_xlfn.XLOOKUP(B3,Configuración!A:A,Configuración!B:B,"")</f>
        <v>MOB</v>
      </c>
      <c r="F3" s="19" t="str" cm="1">
        <f t="array" ref="F3">IF($C3="","",_xlfn.XLOOKUP(1,(Configuración!D:D=$B3)*(Configuración!E:E=$C3),Configuración!F:F,""))</f>
        <v>SIL</v>
      </c>
      <c r="G3" s="19" t="str">
        <f>IF($D3="","",_xlfn.XLOOKUP($D3,Configuración!H:H,Configuración!I:I,""))</f>
        <v>PSL</v>
      </c>
      <c r="H3" s="19" t="s">
        <v>123</v>
      </c>
      <c r="I3" s="19" t="s">
        <v>123</v>
      </c>
      <c r="J3" s="19" t="s">
        <v>120</v>
      </c>
      <c r="K3" s="19" t="s">
        <v>276</v>
      </c>
      <c r="L3" s="20">
        <v>1380</v>
      </c>
      <c r="M3" s="20">
        <f t="shared" si="0"/>
        <v>350</v>
      </c>
      <c r="N3" s="20">
        <f t="shared" si="1"/>
        <v>1400</v>
      </c>
      <c r="O3" s="20">
        <v>1980</v>
      </c>
      <c r="P3" s="19" t="str">
        <f>IF($O3&lt;Configuración!$B$7,"NO","SI")</f>
        <v>NO</v>
      </c>
      <c r="Q3" s="20" t="str">
        <f>IF($P3="NO","NO APLICA",MAX(CEILING(($O3*(1-Configuración!$B$2))/Configuración!$B$3,Configuración!$B$6),Configuración!$B$5))</f>
        <v>NO APLICA</v>
      </c>
      <c r="R3" s="20" t="str">
        <f>IF($Q3="NO APLICA","NO APLICA",$Q3*Configuración!$B$3)</f>
        <v>NO APLICA</v>
      </c>
      <c r="S3" s="19" t="str">
        <f>IF($O3&lt;Configuración!$B$8,"NO","SI")</f>
        <v>NO</v>
      </c>
      <c r="T3" s="20" t="str">
        <f>IF($S3="NO","NO APLICA",MAX(CEILING(($O3*(1-Configuración!$B$2))/Configuración!$B$4,Configuración!$B$6),Configuración!$B$5))</f>
        <v>NO APLICA</v>
      </c>
      <c r="U3" s="20" t="str">
        <f>IF($T3="NO APLICA","NO APLICA",$T3*Configuración!$B$4)</f>
        <v>NO APLICA</v>
      </c>
      <c r="V3" s="20">
        <f>MAX(CEILING($O3/Configuración!$B$9,Configuración!$B$6),Configuración!$B$5)</f>
        <v>100</v>
      </c>
      <c r="W3" s="19" t="s">
        <v>277</v>
      </c>
      <c r="X3" s="33">
        <v>46079</v>
      </c>
      <c r="Y3" s="17"/>
    </row>
    <row r="4" spans="1:25" ht="15.6" x14ac:dyDescent="0.3">
      <c r="A4" s="19" t="str">
        <f>IF(OR(E4="",F4="",G4=""),"",E4&amp;"-"&amp;F4&amp;"-"&amp;G4&amp;"-"&amp;TEXT(COUNTIFS($E$2:E4,E4,$F$2:F4,F4,$G$2:G4,G4),"000"))</f>
        <v>MOB-SIL-PSL-003</v>
      </c>
      <c r="B4" s="19" t="s">
        <v>19</v>
      </c>
      <c r="C4" s="19" t="s">
        <v>318</v>
      </c>
      <c r="D4" s="19" t="s">
        <v>328</v>
      </c>
      <c r="E4" s="19" t="str">
        <f>_xlfn.XLOOKUP(B4,Configuración!A:A,Configuración!B:B,"")</f>
        <v>MOB</v>
      </c>
      <c r="F4" s="19" t="str" cm="1">
        <f t="array" ref="F4">IF($C4="","",_xlfn.XLOOKUP(1,(Configuración!D:D=$B4)*(Configuración!E:E=$C4),Configuración!F:F,""))</f>
        <v>SIL</v>
      </c>
      <c r="G4" s="19" t="str">
        <f>IF($D4="","",_xlfn.XLOOKUP($D4,Configuración!H:H,Configuración!I:I,""))</f>
        <v>PSL</v>
      </c>
      <c r="H4" s="19" t="s">
        <v>127</v>
      </c>
      <c r="I4" s="19" t="s">
        <v>127</v>
      </c>
      <c r="J4" s="19" t="s">
        <v>114</v>
      </c>
      <c r="K4" s="19" t="s">
        <v>276</v>
      </c>
      <c r="L4" s="20">
        <v>2100</v>
      </c>
      <c r="M4" s="20">
        <f t="shared" si="0"/>
        <v>530</v>
      </c>
      <c r="N4" s="20">
        <f t="shared" si="1"/>
        <v>2120</v>
      </c>
      <c r="O4" s="20">
        <v>3000</v>
      </c>
      <c r="P4" s="19" t="str">
        <f>IF($O4&lt;Configuración!$B$7,"NO","SI")</f>
        <v>SI</v>
      </c>
      <c r="Q4" s="20">
        <f>IF($P4="NO","NO APLICA",MAX(CEILING(($O4*(1-Configuración!$B$2))/Configuración!$B$3,Configuración!$B$6),Configuración!$B$5))</f>
        <v>300</v>
      </c>
      <c r="R4" s="20">
        <f>IF($Q4="NO APLICA","NO APLICA",$Q4*Configuración!$B$3)</f>
        <v>2400</v>
      </c>
      <c r="S4" s="19" t="str">
        <f>IF($O4&lt;Configuración!$B$8,"NO","SI")</f>
        <v>SI</v>
      </c>
      <c r="T4" s="20">
        <f>IF($S4="NO","NO APLICA",MAX(CEILING(($O4*(1-Configuración!$B$2))/Configuración!$B$4,Configuración!$B$6),Configuración!$B$5))</f>
        <v>200</v>
      </c>
      <c r="U4" s="20">
        <f>IF($T4="NO APLICA","NO APLICA",$T4*Configuración!$B$4)</f>
        <v>2400</v>
      </c>
      <c r="V4" s="20">
        <f>MAX(CEILING($O4/Configuración!$B$9,Configuración!$B$6),Configuración!$B$5)</f>
        <v>100</v>
      </c>
      <c r="W4" s="19" t="s">
        <v>277</v>
      </c>
      <c r="X4" s="33">
        <v>46079</v>
      </c>
      <c r="Y4" s="17"/>
    </row>
    <row r="5" spans="1:25" ht="15.6" x14ac:dyDescent="0.3">
      <c r="A5" s="19" t="str">
        <f>IF(OR(E5="",F5="",G5=""),"",E5&amp;"-"&amp;F5&amp;"-"&amp;G5&amp;"-"&amp;TEXT(COUNTIFS($E$2:E5,E5,$F$2:F5,F5,$G$2:G5,G5),"000"))</f>
        <v>MOB-SIL-PSL-004</v>
      </c>
      <c r="B5" s="19" t="s">
        <v>19</v>
      </c>
      <c r="C5" s="19" t="s">
        <v>318</v>
      </c>
      <c r="D5" s="19" t="s">
        <v>328</v>
      </c>
      <c r="E5" s="19" t="str">
        <f>_xlfn.XLOOKUP(B5,Configuración!A:A,Configuración!B:B,"")</f>
        <v>MOB</v>
      </c>
      <c r="F5" s="19" t="str" cm="1">
        <f t="array" ref="F5">IF($C5="","",_xlfn.XLOOKUP(1,(Configuración!D:D=$B5)*(Configuración!E:E=$C5),Configuración!F:F,""))</f>
        <v>SIL</v>
      </c>
      <c r="G5" s="19" t="str">
        <f>IF($D5="","",_xlfn.XLOOKUP($D5,Configuración!H:H,Configuración!I:I,""))</f>
        <v>PSL</v>
      </c>
      <c r="H5" s="19" t="s">
        <v>125</v>
      </c>
      <c r="I5" s="19" t="s">
        <v>125</v>
      </c>
      <c r="J5" s="19" t="s">
        <v>126</v>
      </c>
      <c r="K5" s="19" t="s">
        <v>276</v>
      </c>
      <c r="L5" s="20">
        <v>2310</v>
      </c>
      <c r="M5" s="20">
        <f t="shared" si="0"/>
        <v>580</v>
      </c>
      <c r="N5" s="20">
        <f t="shared" si="1"/>
        <v>2320</v>
      </c>
      <c r="O5" s="20">
        <v>3300</v>
      </c>
      <c r="P5" s="19" t="str">
        <f>IF($O5&lt;Configuración!$B$7,"NO","SI")</f>
        <v>SI</v>
      </c>
      <c r="Q5" s="20">
        <f>IF($P5="NO","NO APLICA",MAX(CEILING(($O5*(1-Configuración!$B$2))/Configuración!$B$3,Configuración!$B$6),Configuración!$B$5))</f>
        <v>330</v>
      </c>
      <c r="R5" s="20">
        <f>IF($Q5="NO APLICA","NO APLICA",$Q5*Configuración!$B$3)</f>
        <v>2640</v>
      </c>
      <c r="S5" s="19" t="str">
        <f>IF($O5&lt;Configuración!$B$8,"NO","SI")</f>
        <v>SI</v>
      </c>
      <c r="T5" s="20">
        <f>IF($S5="NO","NO APLICA",MAX(CEILING(($O5*(1-Configuración!$B$2))/Configuración!$B$4,Configuración!$B$6),Configuración!$B$5))</f>
        <v>220</v>
      </c>
      <c r="U5" s="20">
        <f>IF($T5="NO APLICA","NO APLICA",$T5*Configuración!$B$4)</f>
        <v>2640</v>
      </c>
      <c r="V5" s="20">
        <f>MAX(CEILING($O5/Configuración!$B$9,Configuración!$B$6),Configuración!$B$5)</f>
        <v>100</v>
      </c>
      <c r="W5" s="19" t="s">
        <v>277</v>
      </c>
      <c r="X5" s="33">
        <v>46079</v>
      </c>
      <c r="Y5" s="17"/>
    </row>
    <row r="6" spans="1:25" ht="15.6" x14ac:dyDescent="0.3">
      <c r="A6" s="19" t="str">
        <f>IF(OR(E6="",F6="",G6=""),"",E6&amp;"-"&amp;F6&amp;"-"&amp;G6&amp;"-"&amp;TEXT(COUNTIFS($E$2:E6,E6,$F$2:F6,F6,$G$2:G6,G6),"000"))</f>
        <v>LBL-AIRE-MET-001</v>
      </c>
      <c r="B6" s="19" t="s">
        <v>233</v>
      </c>
      <c r="C6" s="19" t="s">
        <v>416</v>
      </c>
      <c r="D6" s="19" t="s">
        <v>327</v>
      </c>
      <c r="E6" s="19" t="str">
        <f>_xlfn.XLOOKUP(B6,Configuración!A:A,Configuración!B:B,"")</f>
        <v>LBL</v>
      </c>
      <c r="F6" s="19" t="str" cm="1">
        <f t="array" ref="F6">IF($C6="","",_xlfn.XLOOKUP(1,(Configuración!D:D=$B6)*(Configuración!E:E=$C6),Configuración!F:F,""))</f>
        <v>AIRE</v>
      </c>
      <c r="G6" s="19" t="str">
        <f>IF($D6="","",_xlfn.XLOOKUP($D6,Configuración!H:H,Configuración!I:I,""))</f>
        <v>MET</v>
      </c>
      <c r="H6" s="19" t="s">
        <v>247</v>
      </c>
      <c r="I6" s="19" t="s">
        <v>247</v>
      </c>
      <c r="J6" s="19" t="s">
        <v>236</v>
      </c>
      <c r="K6" s="19" t="s">
        <v>276</v>
      </c>
      <c r="L6" s="20">
        <v>13950</v>
      </c>
      <c r="M6" s="20">
        <f t="shared" si="0"/>
        <v>3490</v>
      </c>
      <c r="N6" s="20">
        <f t="shared" si="1"/>
        <v>13960</v>
      </c>
      <c r="O6" s="20">
        <v>19935</v>
      </c>
      <c r="P6" s="19" t="str">
        <f>IF($O6&lt;Configuración!$B$7,"NO","SI")</f>
        <v>SI</v>
      </c>
      <c r="Q6" s="20">
        <f>IF($P6="NO","NO APLICA",MAX(CEILING(($O6*(1-Configuración!$B$2))/Configuración!$B$3,Configuración!$B$6),Configuración!$B$5))</f>
        <v>2000</v>
      </c>
      <c r="R6" s="20">
        <f>IF($Q6="NO APLICA","NO APLICA",$Q6*Configuración!$B$3)</f>
        <v>16000</v>
      </c>
      <c r="S6" s="19" t="str">
        <f>IF($O6&lt;Configuración!$B$8,"NO","SI")</f>
        <v>SI</v>
      </c>
      <c r="T6" s="20">
        <f>IF($S6="NO","NO APLICA",MAX(CEILING(($O6*(1-Configuración!$B$2))/Configuración!$B$4,Configuración!$B$6),Configuración!$B$5))</f>
        <v>1330</v>
      </c>
      <c r="U6" s="20">
        <f>IF($T6="NO APLICA","NO APLICA",$T6*Configuración!$B$4)</f>
        <v>15960</v>
      </c>
      <c r="V6" s="20">
        <f>MAX(CEILING($O6/Configuración!$B$9,Configuración!$B$6),Configuración!$B$5)</f>
        <v>390</v>
      </c>
      <c r="W6" s="19" t="s">
        <v>277</v>
      </c>
      <c r="X6" s="33">
        <v>46079</v>
      </c>
      <c r="Y6" s="17"/>
    </row>
    <row r="7" spans="1:25" ht="15.6" x14ac:dyDescent="0.3">
      <c r="A7" s="19" t="str">
        <f>IF(OR(E7="",F7="",G7=""),"",E7&amp;"-"&amp;F7&amp;"-"&amp;G7&amp;"-"&amp;TEXT(COUNTIFS($E$2:E7,E7,$F$2:F7,F7,$G$2:G7,G7),"000"))</f>
        <v>MOB-ALA-MAD-001</v>
      </c>
      <c r="B7" s="19" t="s">
        <v>19</v>
      </c>
      <c r="C7" s="19" t="s">
        <v>387</v>
      </c>
      <c r="D7" s="19" t="s">
        <v>209</v>
      </c>
      <c r="E7" s="19" t="str">
        <f>_xlfn.XLOOKUP(B7,Configuración!A:A,Configuración!B:B,"")</f>
        <v>MOB</v>
      </c>
      <c r="F7" s="19" t="str" cm="1">
        <f t="array" ref="F7">IF($C7="","",_xlfn.XLOOKUP(1,(Configuración!D:D=$B7)*(Configuración!E:E=$C7),Configuración!F:F,""))</f>
        <v>ALA</v>
      </c>
      <c r="G7" s="19" t="str">
        <f>IF($D7="","",_xlfn.XLOOKUP($D7,Configuración!H:H,Configuración!I:I,""))</f>
        <v>MAD</v>
      </c>
      <c r="H7" s="19" t="s">
        <v>226</v>
      </c>
      <c r="I7" s="19" t="s">
        <v>226</v>
      </c>
      <c r="J7" s="19" t="s">
        <v>211</v>
      </c>
      <c r="K7" s="19" t="s">
        <v>276</v>
      </c>
      <c r="L7" s="20">
        <v>7000</v>
      </c>
      <c r="M7" s="20">
        <f t="shared" si="0"/>
        <v>1750</v>
      </c>
      <c r="N7" s="20">
        <f t="shared" si="1"/>
        <v>7000</v>
      </c>
      <c r="O7" s="20">
        <v>10000</v>
      </c>
      <c r="P7" s="19" t="str">
        <f>IF($O7&lt;Configuración!$B$7,"NO","SI")</f>
        <v>SI</v>
      </c>
      <c r="Q7" s="20">
        <f>IF($P7="NO","NO APLICA",MAX(CEILING(($O7*(1-Configuración!$B$2))/Configuración!$B$3,Configuración!$B$6),Configuración!$B$5))</f>
        <v>1000</v>
      </c>
      <c r="R7" s="20">
        <f>IF($Q7="NO APLICA","NO APLICA",$Q7*Configuración!$B$3)</f>
        <v>8000</v>
      </c>
      <c r="S7" s="19" t="str">
        <f>IF($O7&lt;Configuración!$B$8,"NO","SI")</f>
        <v>SI</v>
      </c>
      <c r="T7" s="20">
        <f>IF($S7="NO","NO APLICA",MAX(CEILING(($O7*(1-Configuración!$B$2))/Configuración!$B$4,Configuración!$B$6),Configuración!$B$5))</f>
        <v>670</v>
      </c>
      <c r="U7" s="20">
        <f>IF($T7="NO APLICA","NO APLICA",$T7*Configuración!$B$4)</f>
        <v>8040</v>
      </c>
      <c r="V7" s="20">
        <f>MAX(CEILING($O7/Configuración!$B$9,Configuración!$B$6),Configuración!$B$5)</f>
        <v>200</v>
      </c>
      <c r="W7" s="19" t="s">
        <v>277</v>
      </c>
      <c r="X7" s="33">
        <v>46079</v>
      </c>
      <c r="Y7" s="17"/>
    </row>
    <row r="8" spans="1:25" ht="15.6" x14ac:dyDescent="0.3">
      <c r="A8" s="19" t="str">
        <f>IF(OR(E8="",F8="",G8=""),"",E8&amp;"-"&amp;F8&amp;"-"&amp;G8&amp;"-"&amp;TEXT(COUNTIFS($E$2:E8,E8,$F$2:F8,F8,$G$2:G8,G8),"000"))</f>
        <v>MOB-ALA-MAD-002</v>
      </c>
      <c r="B8" s="19" t="s">
        <v>19</v>
      </c>
      <c r="C8" s="19" t="s">
        <v>387</v>
      </c>
      <c r="D8" s="19" t="s">
        <v>209</v>
      </c>
      <c r="E8" s="19" t="str">
        <f>_xlfn.XLOOKUP(B8,Configuración!A:A,Configuración!B:B,"")</f>
        <v>MOB</v>
      </c>
      <c r="F8" s="19" t="str" cm="1">
        <f t="array" ref="F8">IF($C8="","",_xlfn.XLOOKUP(1,(Configuración!D:D=$B8)*(Configuración!E:E=$C8),Configuración!F:F,""))</f>
        <v>ALA</v>
      </c>
      <c r="G8" s="19" t="str">
        <f>IF($D8="","",_xlfn.XLOOKUP($D8,Configuración!H:H,Configuración!I:I,""))</f>
        <v>MAD</v>
      </c>
      <c r="H8" s="19" t="s">
        <v>227</v>
      </c>
      <c r="I8" s="19" t="s">
        <v>227</v>
      </c>
      <c r="J8" s="19" t="s">
        <v>208</v>
      </c>
      <c r="K8" s="19" t="s">
        <v>276</v>
      </c>
      <c r="L8" s="20">
        <v>8750</v>
      </c>
      <c r="M8" s="20">
        <f t="shared" si="0"/>
        <v>2190</v>
      </c>
      <c r="N8" s="20">
        <f t="shared" si="1"/>
        <v>8760</v>
      </c>
      <c r="O8" s="20">
        <v>12500</v>
      </c>
      <c r="P8" s="19" t="str">
        <f>IF($O8&lt;Configuración!$B$7,"NO","SI")</f>
        <v>SI</v>
      </c>
      <c r="Q8" s="20">
        <f>IF($P8="NO","NO APLICA",MAX(CEILING(($O8*(1-Configuración!$B$2))/Configuración!$B$3,Configuración!$B$6),Configuración!$B$5))</f>
        <v>1250</v>
      </c>
      <c r="R8" s="20">
        <f>IF($Q8="NO APLICA","NO APLICA",$Q8*Configuración!$B$3)</f>
        <v>10000</v>
      </c>
      <c r="S8" s="19" t="str">
        <f>IF($O8&lt;Configuración!$B$8,"NO","SI")</f>
        <v>SI</v>
      </c>
      <c r="T8" s="20">
        <f>IF($S8="NO","NO APLICA",MAX(CEILING(($O8*(1-Configuración!$B$2))/Configuración!$B$4,Configuración!$B$6),Configuración!$B$5))</f>
        <v>840</v>
      </c>
      <c r="U8" s="20">
        <f>IF($T8="NO APLICA","NO APLICA",$T8*Configuración!$B$4)</f>
        <v>10080</v>
      </c>
      <c r="V8" s="20">
        <f>MAX(CEILING($O8/Configuración!$B$9,Configuración!$B$6),Configuración!$B$5)</f>
        <v>250</v>
      </c>
      <c r="W8" s="19" t="s">
        <v>277</v>
      </c>
      <c r="X8" s="33">
        <v>46079</v>
      </c>
      <c r="Y8" s="17"/>
    </row>
    <row r="9" spans="1:25" ht="15.6" x14ac:dyDescent="0.3">
      <c r="A9" s="19" t="str">
        <f>IF(OR(E9="",F9="",G9=""),"",E9&amp;"-"&amp;F9&amp;"-"&amp;G9&amp;"-"&amp;TEXT(COUNTIFS($E$2:E9,E9,$F$2:F9,F9,$G$2:G9,G9),"000"))</f>
        <v>MOB-ALA-MAD-003</v>
      </c>
      <c r="B9" s="19" t="s">
        <v>19</v>
      </c>
      <c r="C9" s="19" t="s">
        <v>387</v>
      </c>
      <c r="D9" s="19" t="s">
        <v>209</v>
      </c>
      <c r="E9" s="19" t="str">
        <f>_xlfn.XLOOKUP(B9,Configuración!A:A,Configuración!B:B,"")</f>
        <v>MOB</v>
      </c>
      <c r="F9" s="19" t="str" cm="1">
        <f t="array" ref="F9">IF($C9="","",_xlfn.XLOOKUP(1,(Configuración!D:D=$B9)*(Configuración!E:E=$C9),Configuración!F:F,""))</f>
        <v>ALA</v>
      </c>
      <c r="G9" s="19" t="str">
        <f>IF($D9="","",_xlfn.XLOOKUP($D9,Configuración!H:H,Configuración!I:I,""))</f>
        <v>MAD</v>
      </c>
      <c r="H9" s="19" t="s">
        <v>228</v>
      </c>
      <c r="I9" s="19" t="s">
        <v>228</v>
      </c>
      <c r="J9" s="19" t="s">
        <v>211</v>
      </c>
      <c r="K9" s="19" t="s">
        <v>276</v>
      </c>
      <c r="L9" s="20">
        <v>4410</v>
      </c>
      <c r="M9" s="20">
        <f t="shared" si="0"/>
        <v>1110</v>
      </c>
      <c r="N9" s="20">
        <f t="shared" si="1"/>
        <v>4440</v>
      </c>
      <c r="O9" s="20">
        <v>6300</v>
      </c>
      <c r="P9" s="19" t="str">
        <f>IF($O9&lt;Configuración!$B$7,"NO","SI")</f>
        <v>SI</v>
      </c>
      <c r="Q9" s="20">
        <f>IF($P9="NO","NO APLICA",MAX(CEILING(($O9*(1-Configuración!$B$2))/Configuración!$B$3,Configuración!$B$6),Configuración!$B$5))</f>
        <v>630</v>
      </c>
      <c r="R9" s="20">
        <f>IF($Q9="NO APLICA","NO APLICA",$Q9*Configuración!$B$3)</f>
        <v>5040</v>
      </c>
      <c r="S9" s="19" t="str">
        <f>IF($O9&lt;Configuración!$B$8,"NO","SI")</f>
        <v>SI</v>
      </c>
      <c r="T9" s="20">
        <f>IF($S9="NO","NO APLICA",MAX(CEILING(($O9*(1-Configuración!$B$2))/Configuración!$B$4,Configuración!$B$6),Configuración!$B$5))</f>
        <v>420</v>
      </c>
      <c r="U9" s="20">
        <f>IF($T9="NO APLICA","NO APLICA",$T9*Configuración!$B$4)</f>
        <v>5040</v>
      </c>
      <c r="V9" s="20">
        <f>MAX(CEILING($O9/Configuración!$B$9,Configuración!$B$6),Configuración!$B$5)</f>
        <v>130</v>
      </c>
      <c r="W9" s="19" t="s">
        <v>277</v>
      </c>
      <c r="X9" s="33">
        <v>46079</v>
      </c>
      <c r="Y9" s="17"/>
    </row>
    <row r="10" spans="1:25" ht="15.6" x14ac:dyDescent="0.3">
      <c r="A10" s="19" t="str">
        <f>IF(OR(E10="",F10="",G10=""),"",E10&amp;"-"&amp;F10&amp;"-"&amp;G10&amp;"-"&amp;TEXT(COUNTIFS($E$2:E10,E10,$F$2:F10,F10,$G$2:G10,G10),"000"))</f>
        <v>MOB-ANA-PSL-001</v>
      </c>
      <c r="B10" s="19" t="s">
        <v>19</v>
      </c>
      <c r="C10" s="19" t="s">
        <v>368</v>
      </c>
      <c r="D10" s="19" t="s">
        <v>328</v>
      </c>
      <c r="E10" s="19" t="str">
        <f>_xlfn.XLOOKUP(B10,Configuración!A:A,Configuración!B:B,"")</f>
        <v>MOB</v>
      </c>
      <c r="F10" s="19" t="str" cm="1">
        <f t="array" ref="F10">IF($C10="","",_xlfn.XLOOKUP(1,(Configuración!D:D=$B10)*(Configuración!E:E=$C10),Configuración!F:F,""))</f>
        <v>ANA</v>
      </c>
      <c r="G10" s="19" t="str">
        <f>IF($D10="","",_xlfn.XLOOKUP($D10,Configuración!H:H,Configuración!I:I,""))</f>
        <v>PSL</v>
      </c>
      <c r="H10" s="19" t="s">
        <v>128</v>
      </c>
      <c r="I10" s="19" t="s">
        <v>128</v>
      </c>
      <c r="J10" s="19" t="s">
        <v>129</v>
      </c>
      <c r="K10" s="19" t="s">
        <v>276</v>
      </c>
      <c r="L10" s="20">
        <v>2310</v>
      </c>
      <c r="M10" s="20">
        <f t="shared" si="0"/>
        <v>580</v>
      </c>
      <c r="N10" s="20">
        <f t="shared" si="1"/>
        <v>2320</v>
      </c>
      <c r="O10" s="20">
        <v>3300</v>
      </c>
      <c r="P10" s="19" t="str">
        <f>IF($O10&lt;Configuración!$B$7,"NO","SI")</f>
        <v>SI</v>
      </c>
      <c r="Q10" s="20">
        <f>IF($P10="NO","NO APLICA",MAX(CEILING(($O10*(1-Configuración!$B$2))/Configuración!$B$3,Configuración!$B$6),Configuración!$B$5))</f>
        <v>330</v>
      </c>
      <c r="R10" s="20">
        <f>IF($Q10="NO APLICA","NO APLICA",$Q10*Configuración!$B$3)</f>
        <v>2640</v>
      </c>
      <c r="S10" s="19" t="str">
        <f>IF($O10&lt;Configuración!$B$8,"NO","SI")</f>
        <v>SI</v>
      </c>
      <c r="T10" s="20">
        <f>IF($S10="NO","NO APLICA",MAX(CEILING(($O10*(1-Configuración!$B$2))/Configuración!$B$4,Configuración!$B$6),Configuración!$B$5))</f>
        <v>220</v>
      </c>
      <c r="U10" s="20">
        <f>IF($T10="NO APLICA","NO APLICA",$T10*Configuración!$B$4)</f>
        <v>2640</v>
      </c>
      <c r="V10" s="20">
        <f>MAX(CEILING($O10/Configuración!$B$9,Configuración!$B$6),Configuración!$B$5)</f>
        <v>100</v>
      </c>
      <c r="W10" s="19" t="s">
        <v>277</v>
      </c>
      <c r="X10" s="33">
        <v>46079</v>
      </c>
      <c r="Y10" s="17"/>
    </row>
    <row r="11" spans="1:25" ht="15.6" x14ac:dyDescent="0.3">
      <c r="A11" s="19" t="str">
        <f>IF(OR(E11="",F11="",G11=""),"",E11&amp;"-"&amp;F11&amp;"-"&amp;G11&amp;"-"&amp;TEXT(COUNTIFS($E$2:E11,E11,$F$2:F11,F11,$G$2:G11,G11),"000"))</f>
        <v>MOB-ANA-TUB-001</v>
      </c>
      <c r="B11" s="19" t="s">
        <v>19</v>
      </c>
      <c r="C11" s="19" t="s">
        <v>368</v>
      </c>
      <c r="D11" s="19" t="s">
        <v>329</v>
      </c>
      <c r="E11" s="19" t="str">
        <f>_xlfn.XLOOKUP(B11,Configuración!A:A,Configuración!B:B,"")</f>
        <v>MOB</v>
      </c>
      <c r="F11" s="19" t="str" cm="1">
        <f t="array" ref="F11">IF($C11="","",_xlfn.XLOOKUP(1,(Configuración!D:D=$B11)*(Configuración!E:E=$C11),Configuración!F:F,""))</f>
        <v>ANA</v>
      </c>
      <c r="G11" s="19" t="str">
        <f>IF($D11="","",_xlfn.XLOOKUP($D11,Configuración!H:H,Configuración!I:I,""))</f>
        <v>TUB</v>
      </c>
      <c r="H11" s="19" t="s">
        <v>185</v>
      </c>
      <c r="I11" s="19" t="s">
        <v>185</v>
      </c>
      <c r="J11" s="19" t="s">
        <v>156</v>
      </c>
      <c r="K11" s="19" t="s">
        <v>276</v>
      </c>
      <c r="L11" s="20">
        <v>2100</v>
      </c>
      <c r="M11" s="20">
        <f t="shared" si="0"/>
        <v>530</v>
      </c>
      <c r="N11" s="20">
        <f t="shared" si="1"/>
        <v>2120</v>
      </c>
      <c r="O11" s="20">
        <v>3000</v>
      </c>
      <c r="P11" s="19" t="str">
        <f>IF($O11&lt;Configuración!$B$7,"NO","SI")</f>
        <v>SI</v>
      </c>
      <c r="Q11" s="20">
        <f>IF($P11="NO","NO APLICA",MAX(CEILING(($O11*(1-Configuración!$B$2))/Configuración!$B$3,Configuración!$B$6),Configuración!$B$5))</f>
        <v>300</v>
      </c>
      <c r="R11" s="20">
        <f>IF($Q11="NO APLICA","NO APLICA",$Q11*Configuración!$B$3)</f>
        <v>2400</v>
      </c>
      <c r="S11" s="19" t="str">
        <f>IF($O11&lt;Configuración!$B$8,"NO","SI")</f>
        <v>SI</v>
      </c>
      <c r="T11" s="20">
        <f>IF($S11="NO","NO APLICA",MAX(CEILING(($O11*(1-Configuración!$B$2))/Configuración!$B$4,Configuración!$B$6),Configuración!$B$5))</f>
        <v>200</v>
      </c>
      <c r="U11" s="20">
        <f>IF($T11="NO APLICA","NO APLICA",$T11*Configuración!$B$4)</f>
        <v>2400</v>
      </c>
      <c r="V11" s="20">
        <f>MAX(CEILING($O11/Configuración!$B$9,Configuración!$B$6),Configuración!$B$5)</f>
        <v>100</v>
      </c>
      <c r="W11" s="19" t="s">
        <v>277</v>
      </c>
      <c r="X11" s="33">
        <v>46079</v>
      </c>
      <c r="Y11" s="17"/>
    </row>
    <row r="12" spans="1:25" ht="15.6" x14ac:dyDescent="0.3">
      <c r="A12" s="19" t="str">
        <f>IF(OR(E12="",F12="",G12=""),"",E12&amp;"-"&amp;F12&amp;"-"&amp;G12&amp;"-"&amp;TEXT(COUNTIFS($E$2:E12,E12,$F$2:F12,F12,$G$2:G12,G12),"000"))</f>
        <v>MOB-ANA-TUB-002</v>
      </c>
      <c r="B12" s="19" t="s">
        <v>19</v>
      </c>
      <c r="C12" s="19" t="s">
        <v>368</v>
      </c>
      <c r="D12" s="19" t="s">
        <v>329</v>
      </c>
      <c r="E12" s="19" t="str">
        <f>_xlfn.XLOOKUP(B12,Configuración!A:A,Configuración!B:B,"")</f>
        <v>MOB</v>
      </c>
      <c r="F12" s="19" t="str" cm="1">
        <f t="array" ref="F12">IF($C12="","",_xlfn.XLOOKUP(1,(Configuración!D:D=$B12)*(Configuración!E:E=$C12),Configuración!F:F,""))</f>
        <v>ANA</v>
      </c>
      <c r="G12" s="19" t="str">
        <f>IF($D12="","",_xlfn.XLOOKUP($D12,Configuración!H:H,Configuración!I:I,""))</f>
        <v>TUB</v>
      </c>
      <c r="H12" s="19" t="s">
        <v>179</v>
      </c>
      <c r="I12" s="19" t="s">
        <v>179</v>
      </c>
      <c r="J12" s="19" t="s">
        <v>156</v>
      </c>
      <c r="K12" s="19" t="s">
        <v>276</v>
      </c>
      <c r="L12" s="20">
        <v>1960</v>
      </c>
      <c r="M12" s="20">
        <f t="shared" si="0"/>
        <v>490</v>
      </c>
      <c r="N12" s="20">
        <f t="shared" si="1"/>
        <v>1960</v>
      </c>
      <c r="O12" s="20">
        <v>2800</v>
      </c>
      <c r="P12" s="19" t="str">
        <f>IF($O12&lt;Configuración!$B$7,"NO","SI")</f>
        <v>SI</v>
      </c>
      <c r="Q12" s="20">
        <f>IF($P12="NO","NO APLICA",MAX(CEILING(($O12*(1-Configuración!$B$2))/Configuración!$B$3,Configuración!$B$6),Configuración!$B$5))</f>
        <v>280</v>
      </c>
      <c r="R12" s="20">
        <f>IF($Q12="NO APLICA","NO APLICA",$Q12*Configuración!$B$3)</f>
        <v>2240</v>
      </c>
      <c r="S12" s="19" t="str">
        <f>IF($O12&lt;Configuración!$B$8,"NO","SI")</f>
        <v>NO</v>
      </c>
      <c r="T12" s="20" t="str">
        <f>IF($S12="NO","NO APLICA",MAX(CEILING(($O12*(1-Configuración!$B$2))/Configuración!$B$4,Configuración!$B$6),Configuración!$B$5))</f>
        <v>NO APLICA</v>
      </c>
      <c r="U12" s="20" t="str">
        <f>IF($T12="NO APLICA","NO APLICA",$T12*Configuración!$B$4)</f>
        <v>NO APLICA</v>
      </c>
      <c r="V12" s="20">
        <f>MAX(CEILING($O12/Configuración!$B$9,Configuración!$B$6),Configuración!$B$5)</f>
        <v>100</v>
      </c>
      <c r="W12" s="19" t="s">
        <v>277</v>
      </c>
      <c r="X12" s="33">
        <v>46079</v>
      </c>
      <c r="Y12" s="17"/>
    </row>
    <row r="13" spans="1:25" ht="15.6" x14ac:dyDescent="0.3">
      <c r="A13" s="19" t="str">
        <f>IF(OR(E13="",F13="",G13=""),"",E13&amp;"-"&amp;F13&amp;"-"&amp;G13&amp;"-"&amp;TEXT(COUNTIFS($E$2:E13,E13,$F$2:F13,F13,$G$2:G13,G13),"000"))</f>
        <v>COC-ARR-ALU-001</v>
      </c>
      <c r="B13" s="19" t="s">
        <v>18</v>
      </c>
      <c r="C13" s="19" t="s">
        <v>373</v>
      </c>
      <c r="D13" s="19" t="s">
        <v>358</v>
      </c>
      <c r="E13" s="19" t="str">
        <f>_xlfn.XLOOKUP(B13,Configuración!A:A,Configuración!B:B,"")</f>
        <v>COC</v>
      </c>
      <c r="F13" s="19" t="str" cm="1">
        <f t="array" ref="F13">IF($C13="","",_xlfn.XLOOKUP(1,(Configuración!D:D=$B13)*(Configuración!E:E=$C13),Configuración!F:F,""))</f>
        <v>ARR</v>
      </c>
      <c r="G13" s="19" t="str">
        <f>IF($D13="","",_xlfn.XLOOKUP($D13,Configuración!H:H,Configuración!I:I,""))</f>
        <v>ALU</v>
      </c>
      <c r="H13" s="19" t="s">
        <v>58</v>
      </c>
      <c r="I13" s="19" t="s">
        <v>445</v>
      </c>
      <c r="J13" s="19" t="s">
        <v>34</v>
      </c>
      <c r="K13" s="19" t="s">
        <v>498</v>
      </c>
      <c r="L13" s="20">
        <v>3500</v>
      </c>
      <c r="M13" s="20">
        <f t="shared" si="0"/>
        <v>880</v>
      </c>
      <c r="N13" s="20">
        <f t="shared" si="1"/>
        <v>3520</v>
      </c>
      <c r="O13" s="20">
        <v>5000</v>
      </c>
      <c r="P13" s="19" t="str">
        <f>IF($O13&lt;Configuración!$B$7,"NO","SI")</f>
        <v>SI</v>
      </c>
      <c r="Q13" s="20">
        <f>IF($P13="NO","NO APLICA",MAX(CEILING(($O13*(1-Configuración!$B$2))/Configuración!$B$3,Configuración!$B$6),Configuración!$B$5))</f>
        <v>500</v>
      </c>
      <c r="R13" s="20">
        <f>IF($Q13="NO APLICA","NO APLICA",$Q13*Configuración!$B$3)</f>
        <v>4000</v>
      </c>
      <c r="S13" s="19" t="str">
        <f>IF($O13&lt;Configuración!$B$8,"NO","SI")</f>
        <v>SI</v>
      </c>
      <c r="T13" s="20">
        <f>IF($S13="NO","NO APLICA",MAX(CEILING(($O13*(1-Configuración!$B$2))/Configuración!$B$4,Configuración!$B$6),Configuración!$B$5))</f>
        <v>340</v>
      </c>
      <c r="U13" s="20">
        <f>IF($T13="NO APLICA","NO APLICA",$T13*Configuración!$B$4)</f>
        <v>4080</v>
      </c>
      <c r="V13" s="20">
        <f>MAX(CEILING($O13/Configuración!$B$9,Configuración!$B$6),Configuración!$B$5)</f>
        <v>100</v>
      </c>
      <c r="W13" s="19" t="s">
        <v>277</v>
      </c>
      <c r="X13" s="33">
        <v>46079</v>
      </c>
      <c r="Y13" s="17"/>
    </row>
    <row r="14" spans="1:25" ht="15.6" x14ac:dyDescent="0.3">
      <c r="A14" s="19" t="str">
        <f>IF(OR(E14="",F14="",G14=""),"",E14&amp;"-"&amp;F14&amp;"-"&amp;G14&amp;"-"&amp;TEXT(COUNTIFS($E$2:E14,E14,$F$2:F14,F14,$G$2:G14,G14),"000"))</f>
        <v>COC-ARR-ALU-002</v>
      </c>
      <c r="B14" s="19" t="s">
        <v>18</v>
      </c>
      <c r="C14" s="19" t="s">
        <v>373</v>
      </c>
      <c r="D14" s="19" t="s">
        <v>358</v>
      </c>
      <c r="E14" s="19" t="str">
        <f>_xlfn.XLOOKUP(B14,Configuración!A:A,Configuración!B:B,"")</f>
        <v>COC</v>
      </c>
      <c r="F14" s="19" t="str" cm="1">
        <f t="array" ref="F14">IF($C14="","",_xlfn.XLOOKUP(1,(Configuración!D:D=$B14)*(Configuración!E:E=$C14),Configuración!F:F,""))</f>
        <v>ARR</v>
      </c>
      <c r="G14" s="19" t="str">
        <f>IF($D14="","",_xlfn.XLOOKUP($D14,Configuración!H:H,Configuración!I:I,""))</f>
        <v>ALU</v>
      </c>
      <c r="H14" s="19" t="s">
        <v>50</v>
      </c>
      <c r="I14" s="19" t="s">
        <v>442</v>
      </c>
      <c r="J14" s="19" t="s">
        <v>51</v>
      </c>
      <c r="K14" s="19" t="s">
        <v>511</v>
      </c>
      <c r="L14" s="20">
        <v>3850</v>
      </c>
      <c r="M14" s="20">
        <f t="shared" si="0"/>
        <v>970</v>
      </c>
      <c r="N14" s="20">
        <f t="shared" si="1"/>
        <v>3880</v>
      </c>
      <c r="O14" s="20">
        <v>5500</v>
      </c>
      <c r="P14" s="19" t="str">
        <f>IF($O14&lt;Configuración!$B$7,"NO","SI")</f>
        <v>SI</v>
      </c>
      <c r="Q14" s="20">
        <f>IF($P14="NO","NO APLICA",MAX(CEILING(($O14*(1-Configuración!$B$2))/Configuración!$B$3,Configuración!$B$6),Configuración!$B$5))</f>
        <v>550</v>
      </c>
      <c r="R14" s="20">
        <f>IF($Q14="NO APLICA","NO APLICA",$Q14*Configuración!$B$3)</f>
        <v>4400</v>
      </c>
      <c r="S14" s="19" t="str">
        <f>IF($O14&lt;Configuración!$B$8,"NO","SI")</f>
        <v>SI</v>
      </c>
      <c r="T14" s="20">
        <f>IF($S14="NO","NO APLICA",MAX(CEILING(($O14*(1-Configuración!$B$2))/Configuración!$B$4,Configuración!$B$6),Configuración!$B$5))</f>
        <v>370</v>
      </c>
      <c r="U14" s="20">
        <f>IF($T14="NO APLICA","NO APLICA",$T14*Configuración!$B$4)</f>
        <v>4440</v>
      </c>
      <c r="V14" s="20">
        <f>MAX(CEILING($O14/Configuración!$B$9,Configuración!$B$6),Configuración!$B$5)</f>
        <v>110</v>
      </c>
      <c r="W14" s="19" t="s">
        <v>277</v>
      </c>
      <c r="X14" s="33">
        <v>46079</v>
      </c>
      <c r="Y14" s="17"/>
    </row>
    <row r="15" spans="1:25" ht="15.6" x14ac:dyDescent="0.3">
      <c r="A15" s="19" t="str">
        <f>IF(OR(E15="",F15="",G15=""),"",E15&amp;"-"&amp;F15&amp;"-"&amp;G15&amp;"-"&amp;TEXT(COUNTIFS($E$2:E15,E15,$F$2:F15,F15,$G$2:G15,G15),"000"))</f>
        <v>COC-ARR-ACI-001</v>
      </c>
      <c r="B15" s="19" t="s">
        <v>18</v>
      </c>
      <c r="C15" s="19" t="s">
        <v>373</v>
      </c>
      <c r="D15" s="19" t="s">
        <v>94</v>
      </c>
      <c r="E15" s="19" t="str">
        <f>_xlfn.XLOOKUP(B15,Configuración!A:A,Configuración!B:B,"")</f>
        <v>COC</v>
      </c>
      <c r="F15" s="19" t="str" cm="1">
        <f t="array" ref="F15">IF($C15="","",_xlfn.XLOOKUP(1,(Configuración!D:D=$B15)*(Configuración!E:E=$C15),Configuración!F:F,""))</f>
        <v>ARR</v>
      </c>
      <c r="G15" s="19" t="str">
        <f>IF($D15="","",_xlfn.XLOOKUP($D15,Configuración!H:H,Configuración!I:I,""))</f>
        <v>ACI</v>
      </c>
      <c r="H15" s="19" t="s">
        <v>103</v>
      </c>
      <c r="I15" s="19" t="s">
        <v>479</v>
      </c>
      <c r="J15" s="19" t="s">
        <v>96</v>
      </c>
      <c r="K15" s="19" t="s">
        <v>511</v>
      </c>
      <c r="L15" s="20">
        <v>3500</v>
      </c>
      <c r="M15" s="20">
        <f t="shared" si="0"/>
        <v>880</v>
      </c>
      <c r="N15" s="20">
        <f t="shared" si="1"/>
        <v>3520</v>
      </c>
      <c r="O15" s="20">
        <v>5000</v>
      </c>
      <c r="P15" s="19" t="str">
        <f>IF($O15&lt;Configuración!$B$7,"NO","SI")</f>
        <v>SI</v>
      </c>
      <c r="Q15" s="20">
        <f>IF($P15="NO","NO APLICA",MAX(CEILING(($O15*(1-Configuración!$B$2))/Configuración!$B$3,Configuración!$B$6),Configuración!$B$5))</f>
        <v>500</v>
      </c>
      <c r="R15" s="20">
        <f>IF($Q15="NO APLICA","NO APLICA",$Q15*Configuración!$B$3)</f>
        <v>4000</v>
      </c>
      <c r="S15" s="19" t="str">
        <f>IF($O15&lt;Configuración!$B$8,"NO","SI")</f>
        <v>SI</v>
      </c>
      <c r="T15" s="20">
        <f>IF($S15="NO","NO APLICA",MAX(CEILING(($O15*(1-Configuración!$B$2))/Configuración!$B$4,Configuración!$B$6),Configuración!$B$5))</f>
        <v>340</v>
      </c>
      <c r="U15" s="20">
        <f>IF($T15="NO APLICA","NO APLICA",$T15*Configuración!$B$4)</f>
        <v>4080</v>
      </c>
      <c r="V15" s="20">
        <f>MAX(CEILING($O15/Configuración!$B$9,Configuración!$B$6),Configuración!$B$5)</f>
        <v>100</v>
      </c>
      <c r="W15" s="19" t="s">
        <v>277</v>
      </c>
      <c r="X15" s="33">
        <v>46079</v>
      </c>
      <c r="Y15" s="17"/>
    </row>
    <row r="16" spans="1:25" ht="15.6" x14ac:dyDescent="0.3">
      <c r="A16" s="19" t="str">
        <f>IF(OR(E16="",F16="",G16=""),"",E16&amp;"-"&amp;F16&amp;"-"&amp;G16&amp;"-"&amp;TEXT(COUNTIFS($E$2:E16,E16,$F$2:F16,F16,$G$2:G16,G16),"000"))</f>
        <v>COC-ARR-ACI-002</v>
      </c>
      <c r="B16" s="19" t="s">
        <v>18</v>
      </c>
      <c r="C16" s="19" t="s">
        <v>373</v>
      </c>
      <c r="D16" s="19" t="s">
        <v>94</v>
      </c>
      <c r="E16" s="19" t="str">
        <f>_xlfn.XLOOKUP(B16,Configuración!A:A,Configuración!B:B,"")</f>
        <v>COC</v>
      </c>
      <c r="F16" s="19" t="str" cm="1">
        <f t="array" ref="F16">IF($C16="","",_xlfn.XLOOKUP(1,(Configuración!D:D=$B16)*(Configuración!E:E=$C16),Configuración!F:F,""))</f>
        <v>ARR</v>
      </c>
      <c r="G16" s="19" t="str">
        <f>IF($D16="","",_xlfn.XLOOKUP($D16,Configuración!H:H,Configuración!I:I,""))</f>
        <v>ACI</v>
      </c>
      <c r="H16" s="19" t="s">
        <v>104</v>
      </c>
      <c r="I16" s="19" t="s">
        <v>480</v>
      </c>
      <c r="J16" s="19" t="s">
        <v>96</v>
      </c>
      <c r="K16" s="19" t="s">
        <v>511</v>
      </c>
      <c r="L16" s="20">
        <v>3850</v>
      </c>
      <c r="M16" s="20">
        <f t="shared" si="0"/>
        <v>970</v>
      </c>
      <c r="N16" s="20">
        <f t="shared" si="1"/>
        <v>3880</v>
      </c>
      <c r="O16" s="20">
        <v>5500</v>
      </c>
      <c r="P16" s="19" t="str">
        <f>IF($O16&lt;Configuración!$B$7,"NO","SI")</f>
        <v>SI</v>
      </c>
      <c r="Q16" s="20">
        <f>IF($P16="NO","NO APLICA",MAX(CEILING(($O16*(1-Configuración!$B$2))/Configuración!$B$3,Configuración!$B$6),Configuración!$B$5))</f>
        <v>550</v>
      </c>
      <c r="R16" s="20">
        <f>IF($Q16="NO APLICA","NO APLICA",$Q16*Configuración!$B$3)</f>
        <v>4400</v>
      </c>
      <c r="S16" s="19" t="str">
        <f>IF($O16&lt;Configuración!$B$8,"NO","SI")</f>
        <v>SI</v>
      </c>
      <c r="T16" s="20">
        <f>IF($S16="NO","NO APLICA",MAX(CEILING(($O16*(1-Configuración!$B$2))/Configuración!$B$4,Configuración!$B$6),Configuración!$B$5))</f>
        <v>370</v>
      </c>
      <c r="U16" s="20">
        <f>IF($T16="NO APLICA","NO APLICA",$T16*Configuración!$B$4)</f>
        <v>4440</v>
      </c>
      <c r="V16" s="20">
        <f>MAX(CEILING($O16/Configuración!$B$9,Configuración!$B$6),Configuración!$B$5)</f>
        <v>110</v>
      </c>
      <c r="W16" s="19" t="s">
        <v>277</v>
      </c>
      <c r="X16" s="33">
        <v>46079</v>
      </c>
      <c r="Y16" s="17"/>
    </row>
    <row r="17" spans="1:25" ht="15.6" x14ac:dyDescent="0.3">
      <c r="A17" s="19" t="str">
        <f>IF(OR(E17="",F17="",G17=""),"",E17&amp;"-"&amp;F17&amp;"-"&amp;G17&amp;"-"&amp;TEXT(COUNTIFS($E$2:E17,E17,$F$2:F17,F17,$G$2:G17,G17),"000"))</f>
        <v>MOB-BAN-TUB-001</v>
      </c>
      <c r="B17" s="19" t="s">
        <v>19</v>
      </c>
      <c r="C17" s="19" t="s">
        <v>389</v>
      </c>
      <c r="D17" s="19" t="s">
        <v>329</v>
      </c>
      <c r="E17" s="19" t="str">
        <f>_xlfn.XLOOKUP(B17,Configuración!A:A,Configuración!B:B,"")</f>
        <v>MOB</v>
      </c>
      <c r="F17" s="19" t="str" cm="1">
        <f t="array" ref="F17">IF($C17="","",_xlfn.XLOOKUP(1,(Configuración!D:D=$B17)*(Configuración!E:E=$C17),Configuración!F:F,""))</f>
        <v>BAN</v>
      </c>
      <c r="G17" s="19" t="str">
        <f>IF($D17="","",_xlfn.XLOOKUP($D17,Configuración!H:H,Configuración!I:I,""))</f>
        <v>TUB</v>
      </c>
      <c r="H17" s="19" t="s">
        <v>174</v>
      </c>
      <c r="I17" s="19" t="s">
        <v>174</v>
      </c>
      <c r="J17" s="19" t="s">
        <v>156</v>
      </c>
      <c r="K17" s="19" t="s">
        <v>276</v>
      </c>
      <c r="L17" s="20">
        <v>1960</v>
      </c>
      <c r="M17" s="20">
        <f t="shared" si="0"/>
        <v>490</v>
      </c>
      <c r="N17" s="20">
        <f t="shared" si="1"/>
        <v>1960</v>
      </c>
      <c r="O17" s="20">
        <v>2800</v>
      </c>
      <c r="P17" s="19" t="str">
        <f>IF($O17&lt;Configuración!$B$7,"NO","SI")</f>
        <v>SI</v>
      </c>
      <c r="Q17" s="20">
        <f>IF($P17="NO","NO APLICA",MAX(CEILING(($O17*(1-Configuración!$B$2))/Configuración!$B$3,Configuración!$B$6),Configuración!$B$5))</f>
        <v>280</v>
      </c>
      <c r="R17" s="20">
        <f>IF($Q17="NO APLICA","NO APLICA",$Q17*Configuración!$B$3)</f>
        <v>2240</v>
      </c>
      <c r="S17" s="19" t="str">
        <f>IF($O17&lt;Configuración!$B$8,"NO","SI")</f>
        <v>NO</v>
      </c>
      <c r="T17" s="20" t="str">
        <f>IF($S17="NO","NO APLICA",MAX(CEILING(($O17*(1-Configuración!$B$2))/Configuración!$B$4,Configuración!$B$6),Configuración!$B$5))</f>
        <v>NO APLICA</v>
      </c>
      <c r="U17" s="20" t="str">
        <f>IF($T17="NO APLICA","NO APLICA",$T17*Configuración!$B$4)</f>
        <v>NO APLICA</v>
      </c>
      <c r="V17" s="20">
        <f>MAX(CEILING($O17/Configuración!$B$9,Configuración!$B$6),Configuración!$B$5)</f>
        <v>100</v>
      </c>
      <c r="W17" s="19" t="s">
        <v>277</v>
      </c>
      <c r="X17" s="33">
        <v>46079</v>
      </c>
      <c r="Y17" s="17"/>
    </row>
    <row r="18" spans="1:25" ht="15.6" x14ac:dyDescent="0.3">
      <c r="A18" s="19" t="str">
        <f>IF(OR(E18="",F18="",G18=""),"",E18&amp;"-"&amp;F18&amp;"-"&amp;G18&amp;"-"&amp;TEXT(COUNTIFS($E$2:E18,E18,$F$2:F18,F18,$G$2:G18,G18),"000"))</f>
        <v>MOB-BAN-MET-001</v>
      </c>
      <c r="B18" s="19" t="s">
        <v>19</v>
      </c>
      <c r="C18" s="19" t="s">
        <v>389</v>
      </c>
      <c r="D18" s="19" t="s">
        <v>327</v>
      </c>
      <c r="E18" s="19" t="str">
        <f>_xlfn.XLOOKUP(B18,Configuración!A:A,Configuración!B:B,"")</f>
        <v>MOB</v>
      </c>
      <c r="F18" s="19" t="str" cm="1">
        <f t="array" ref="F18">IF($C18="","",_xlfn.XLOOKUP(1,(Configuración!D:D=$B18)*(Configuración!E:E=$C18),Configuración!F:F,""))</f>
        <v>BAN</v>
      </c>
      <c r="G18" s="19" t="str">
        <f>IF($D18="","",_xlfn.XLOOKUP($D18,Configuración!H:H,Configuración!I:I,""))</f>
        <v>MET</v>
      </c>
      <c r="H18" s="19" t="s">
        <v>171</v>
      </c>
      <c r="I18" s="19" t="s">
        <v>171</v>
      </c>
      <c r="J18" s="19" t="s">
        <v>156</v>
      </c>
      <c r="K18" s="19" t="s">
        <v>276</v>
      </c>
      <c r="L18" s="20">
        <v>2100</v>
      </c>
      <c r="M18" s="20">
        <f t="shared" si="0"/>
        <v>530</v>
      </c>
      <c r="N18" s="20">
        <f t="shared" si="1"/>
        <v>2120</v>
      </c>
      <c r="O18" s="20">
        <v>3000</v>
      </c>
      <c r="P18" s="19" t="str">
        <f>IF($O18&lt;Configuración!$B$7,"NO","SI")</f>
        <v>SI</v>
      </c>
      <c r="Q18" s="20">
        <f>IF($P18="NO","NO APLICA",MAX(CEILING(($O18*(1-Configuración!$B$2))/Configuración!$B$3,Configuración!$B$6),Configuración!$B$5))</f>
        <v>300</v>
      </c>
      <c r="R18" s="20">
        <f>IF($Q18="NO APLICA","NO APLICA",$Q18*Configuración!$B$3)</f>
        <v>2400</v>
      </c>
      <c r="S18" s="19" t="str">
        <f>IF($O18&lt;Configuración!$B$8,"NO","SI")</f>
        <v>SI</v>
      </c>
      <c r="T18" s="20">
        <f>IF($S18="NO","NO APLICA",MAX(CEILING(($O18*(1-Configuración!$B$2))/Configuración!$B$4,Configuración!$B$6),Configuración!$B$5))</f>
        <v>200</v>
      </c>
      <c r="U18" s="20">
        <f>IF($T18="NO APLICA","NO APLICA",$T18*Configuración!$B$4)</f>
        <v>2400</v>
      </c>
      <c r="V18" s="20">
        <f>MAX(CEILING($O18/Configuración!$B$9,Configuración!$B$6),Configuración!$B$5)</f>
        <v>100</v>
      </c>
      <c r="W18" s="19" t="s">
        <v>277</v>
      </c>
      <c r="X18" s="33">
        <v>46079</v>
      </c>
      <c r="Y18" s="17"/>
    </row>
    <row r="19" spans="1:25" ht="15.6" x14ac:dyDescent="0.3">
      <c r="A19" s="19" t="str">
        <f>IF(OR(E19="",F19="",G19=""),"",E19&amp;"-"&amp;F19&amp;"-"&amp;G19&amp;"-"&amp;TEXT(COUNTIFS($E$2:E19,E19,$F$2:F19,F19,$G$2:G19,G19),"000"))</f>
        <v>MOB-BCO-TUB-001</v>
      </c>
      <c r="B19" s="19" t="s">
        <v>19</v>
      </c>
      <c r="C19" s="19" t="s">
        <v>394</v>
      </c>
      <c r="D19" s="19" t="s">
        <v>329</v>
      </c>
      <c r="E19" s="19" t="str">
        <f>_xlfn.XLOOKUP(B19,Configuración!A:A,Configuración!B:B,"")</f>
        <v>MOB</v>
      </c>
      <c r="F19" s="19" t="str" cm="1">
        <f t="array" ref="F19">IF($C19="","",_xlfn.XLOOKUP(1,(Configuración!D:D=$B19)*(Configuración!E:E=$C19),Configuración!F:F,""))</f>
        <v>BCO</v>
      </c>
      <c r="G19" s="19" t="str">
        <f>IF($D19="","",_xlfn.XLOOKUP($D19,Configuración!H:H,Configuración!I:I,""))</f>
        <v>TUB</v>
      </c>
      <c r="H19" s="19" t="s">
        <v>204</v>
      </c>
      <c r="I19" s="19" t="s">
        <v>204</v>
      </c>
      <c r="J19" s="19" t="s">
        <v>156</v>
      </c>
      <c r="K19" s="19" t="s">
        <v>276</v>
      </c>
      <c r="L19" s="20">
        <v>980</v>
      </c>
      <c r="M19" s="20">
        <f t="shared" si="0"/>
        <v>250</v>
      </c>
      <c r="N19" s="20">
        <f t="shared" si="1"/>
        <v>1000</v>
      </c>
      <c r="O19" s="20">
        <v>1400</v>
      </c>
      <c r="P19" s="19" t="str">
        <f>IF($O19&lt;Configuración!$B$7,"NO","SI")</f>
        <v>NO</v>
      </c>
      <c r="Q19" s="20" t="str">
        <f>IF($P19="NO","NO APLICA",MAX(CEILING(($O19*(1-Configuración!$B$2))/Configuración!$B$3,Configuración!$B$6),Configuración!$B$5))</f>
        <v>NO APLICA</v>
      </c>
      <c r="R19" s="20" t="str">
        <f>IF($Q19="NO APLICA","NO APLICA",$Q19*Configuración!$B$3)</f>
        <v>NO APLICA</v>
      </c>
      <c r="S19" s="19" t="str">
        <f>IF($O19&lt;Configuración!$B$8,"NO","SI")</f>
        <v>NO</v>
      </c>
      <c r="T19" s="20" t="str">
        <f>IF($S19="NO","NO APLICA",MAX(CEILING(($O19*(1-Configuración!$B$2))/Configuración!$B$4,Configuración!$B$6),Configuración!$B$5))</f>
        <v>NO APLICA</v>
      </c>
      <c r="U19" s="20" t="str">
        <f>IF($T19="NO APLICA","NO APLICA",$T19*Configuración!$B$4)</f>
        <v>NO APLICA</v>
      </c>
      <c r="V19" s="20">
        <f>MAX(CEILING($O19/Configuración!$B$9,Configuración!$B$6),Configuración!$B$5)</f>
        <v>100</v>
      </c>
      <c r="W19" s="19" t="s">
        <v>277</v>
      </c>
      <c r="X19" s="33">
        <v>46079</v>
      </c>
      <c r="Y19" s="17"/>
    </row>
    <row r="20" spans="1:25" ht="15.6" x14ac:dyDescent="0.3">
      <c r="A20" s="19" t="str">
        <f>IF(OR(E20="",F20="",G20=""),"",E20&amp;"-"&amp;F20&amp;"-"&amp;G20&amp;"-"&amp;TEXT(COUNTIFS($E$2:E20,E20,$F$2:F20,F20,$G$2:G20,G20),"000"))</f>
        <v>COC-BAN-PEL-001</v>
      </c>
      <c r="B20" s="19" t="s">
        <v>18</v>
      </c>
      <c r="C20" s="19" t="s">
        <v>489</v>
      </c>
      <c r="D20" s="19" t="s">
        <v>364</v>
      </c>
      <c r="E20" s="19" t="str">
        <f>_xlfn.XLOOKUP(B20,Configuración!A:A,Configuración!B:B,"")</f>
        <v>COC</v>
      </c>
      <c r="F20" s="19" t="str" cm="1">
        <f t="array" ref="F20">IF($C20="","",_xlfn.XLOOKUP(1,(Configuración!D:D=$B20)*(Configuración!E:E=$C20),Configuración!F:F,""))</f>
        <v>BAN</v>
      </c>
      <c r="G20" s="19" t="str">
        <f>IF($D20="","",_xlfn.XLOOKUP($D20,Configuración!H:H,Configuración!I:I,""))</f>
        <v>PEL</v>
      </c>
      <c r="H20" s="19" t="s">
        <v>92</v>
      </c>
      <c r="I20" s="19" t="s">
        <v>92</v>
      </c>
      <c r="J20" s="19" t="s">
        <v>70</v>
      </c>
      <c r="K20" s="19" t="s">
        <v>498</v>
      </c>
      <c r="L20" s="20">
        <v>1540</v>
      </c>
      <c r="M20" s="20">
        <f t="shared" si="0"/>
        <v>390</v>
      </c>
      <c r="N20" s="20">
        <f t="shared" si="1"/>
        <v>1560</v>
      </c>
      <c r="O20" s="20">
        <v>2200</v>
      </c>
      <c r="P20" s="19" t="str">
        <f>IF($O20&lt;Configuración!$B$7,"NO","SI")</f>
        <v>SI</v>
      </c>
      <c r="Q20" s="20">
        <f>IF($P20="NO","NO APLICA",MAX(CEILING(($O20*(1-Configuración!$B$2))/Configuración!$B$3,Configuración!$B$6),Configuración!$B$5))</f>
        <v>220</v>
      </c>
      <c r="R20" s="20">
        <f>IF($Q20="NO APLICA","NO APLICA",$Q20*Configuración!$B$3)</f>
        <v>1760</v>
      </c>
      <c r="S20" s="19" t="str">
        <f>IF($O20&lt;Configuración!$B$8,"NO","SI")</f>
        <v>NO</v>
      </c>
      <c r="T20" s="20" t="str">
        <f>IF($S20="NO","NO APLICA",MAX(CEILING(($O20*(1-Configuración!$B$2))/Configuración!$B$4,Configuración!$B$6),Configuración!$B$5))</f>
        <v>NO APLICA</v>
      </c>
      <c r="U20" s="20" t="str">
        <f>IF($T20="NO APLICA","NO APLICA",$T20*Configuración!$B$4)</f>
        <v>NO APLICA</v>
      </c>
      <c r="V20" s="20">
        <f>MAX(CEILING($O20/Configuración!$B$9,Configuración!$B$6),Configuración!$B$5)</f>
        <v>100</v>
      </c>
      <c r="W20" s="19" t="s">
        <v>277</v>
      </c>
      <c r="X20" s="33">
        <v>46079</v>
      </c>
      <c r="Y20" s="17"/>
    </row>
    <row r="21" spans="1:25" ht="15.6" x14ac:dyDescent="0.3">
      <c r="A21" s="19" t="str">
        <f>IF(OR(E21="",F21="",G21=""),"",E21&amp;"-"&amp;F21&amp;"-"&amp;G21&amp;"-"&amp;TEXT(COUNTIFS($E$2:E21,E21,$F$2:F21,F21,$G$2:G21,G21),"000"))</f>
        <v>PLA-BAN-PSL-001</v>
      </c>
      <c r="B21" s="19" t="s">
        <v>135</v>
      </c>
      <c r="C21" s="19" t="s">
        <v>366</v>
      </c>
      <c r="D21" s="19" t="s">
        <v>328</v>
      </c>
      <c r="E21" s="19" t="str">
        <f>_xlfn.XLOOKUP(B21,Configuración!A:A,Configuración!B:B,"")</f>
        <v>PLA</v>
      </c>
      <c r="F21" s="19" t="str" cm="1">
        <f t="array" ref="F21">IF($C21="","",_xlfn.XLOOKUP(1,(Configuración!D:D=$B21)*(Configuración!E:E=$C21),Configuración!F:F,""))</f>
        <v>BAN</v>
      </c>
      <c r="G21" s="19" t="str">
        <f>IF($D21="","",_xlfn.XLOOKUP($D21,Configuración!H:H,Configuración!I:I,""))</f>
        <v>PSL</v>
      </c>
      <c r="H21" s="19" t="s">
        <v>144</v>
      </c>
      <c r="I21" s="19" t="s">
        <v>144</v>
      </c>
      <c r="J21" s="19" t="s">
        <v>139</v>
      </c>
      <c r="K21" s="19" t="s">
        <v>276</v>
      </c>
      <c r="L21" s="20">
        <v>1050</v>
      </c>
      <c r="M21" s="20">
        <f t="shared" si="0"/>
        <v>270</v>
      </c>
      <c r="N21" s="20">
        <f t="shared" si="1"/>
        <v>1080</v>
      </c>
      <c r="O21" s="20">
        <v>1500</v>
      </c>
      <c r="P21" s="19" t="str">
        <f>IF($O21&lt;Configuración!$B$7,"NO","SI")</f>
        <v>NO</v>
      </c>
      <c r="Q21" s="20" t="str">
        <f>IF($P21="NO","NO APLICA",MAX(CEILING(($O21*(1-Configuración!$B$2))/Configuración!$B$3,Configuración!$B$6),Configuración!$B$5))</f>
        <v>NO APLICA</v>
      </c>
      <c r="R21" s="20" t="str">
        <f>IF($Q21="NO APLICA","NO APLICA",$Q21*Configuración!$B$3)</f>
        <v>NO APLICA</v>
      </c>
      <c r="S21" s="19" t="str">
        <f>IF($O21&lt;Configuración!$B$8,"NO","SI")</f>
        <v>NO</v>
      </c>
      <c r="T21" s="20" t="str">
        <f>IF($S21="NO","NO APLICA",MAX(CEILING(($O21*(1-Configuración!$B$2))/Configuración!$B$4,Configuración!$B$6),Configuración!$B$5))</f>
        <v>NO APLICA</v>
      </c>
      <c r="U21" s="20" t="str">
        <f>IF($T21="NO APLICA","NO APLICA",$T21*Configuración!$B$4)</f>
        <v>NO APLICA</v>
      </c>
      <c r="V21" s="20">
        <f>MAX(CEILING($O21/Configuración!$B$9,Configuración!$B$6),Configuración!$B$5)</f>
        <v>100</v>
      </c>
      <c r="W21" s="19" t="s">
        <v>277</v>
      </c>
      <c r="X21" s="33">
        <v>46079</v>
      </c>
      <c r="Y21" s="17"/>
    </row>
    <row r="22" spans="1:25" ht="15.6" x14ac:dyDescent="0.3">
      <c r="A22" s="19" t="str">
        <f>IF(OR(E22="",F22="",G22=""),"",E22&amp;"-"&amp;F22&amp;"-"&amp;G22&amp;"-"&amp;TEXT(COUNTIFS($E$2:E22,E22,$F$2:F22,F22,$G$2:G22,G22),"000"))</f>
        <v>PLA-BAN-PSL-002</v>
      </c>
      <c r="B22" s="19" t="s">
        <v>135</v>
      </c>
      <c r="C22" s="19" t="s">
        <v>366</v>
      </c>
      <c r="D22" s="19" t="s">
        <v>328</v>
      </c>
      <c r="E22" s="19" t="str">
        <f>_xlfn.XLOOKUP(B22,Configuración!A:A,Configuración!B:B,"")</f>
        <v>PLA</v>
      </c>
      <c r="F22" s="19" t="str" cm="1">
        <f t="array" ref="F22">IF($C22="","",_xlfn.XLOOKUP(1,(Configuración!D:D=$B22)*(Configuración!E:E=$C22),Configuración!F:F,""))</f>
        <v>BAN</v>
      </c>
      <c r="G22" s="19" t="str">
        <f>IF($D22="","",_xlfn.XLOOKUP($D22,Configuración!H:H,Configuración!I:I,""))</f>
        <v>PSL</v>
      </c>
      <c r="H22" s="19" t="s">
        <v>145</v>
      </c>
      <c r="I22" s="19" t="s">
        <v>145</v>
      </c>
      <c r="J22" s="19" t="s">
        <v>139</v>
      </c>
      <c r="K22" s="19" t="s">
        <v>276</v>
      </c>
      <c r="L22" s="20">
        <v>1330</v>
      </c>
      <c r="M22" s="20">
        <f t="shared" si="0"/>
        <v>340</v>
      </c>
      <c r="N22" s="20">
        <f t="shared" si="1"/>
        <v>1360</v>
      </c>
      <c r="O22" s="20">
        <v>1900</v>
      </c>
      <c r="P22" s="19" t="str">
        <f>IF($O22&lt;Configuración!$B$7,"NO","SI")</f>
        <v>NO</v>
      </c>
      <c r="Q22" s="20" t="str">
        <f>IF($P22="NO","NO APLICA",MAX(CEILING(($O22*(1-Configuración!$B$2))/Configuración!$B$3,Configuración!$B$6),Configuración!$B$5))</f>
        <v>NO APLICA</v>
      </c>
      <c r="R22" s="20" t="str">
        <f>IF($Q22="NO APLICA","NO APLICA",$Q22*Configuración!$B$3)</f>
        <v>NO APLICA</v>
      </c>
      <c r="S22" s="19" t="str">
        <f>IF($O22&lt;Configuración!$B$8,"NO","SI")</f>
        <v>NO</v>
      </c>
      <c r="T22" s="20" t="str">
        <f>IF($S22="NO","NO APLICA",MAX(CEILING(($O22*(1-Configuración!$B$2))/Configuración!$B$4,Configuración!$B$6),Configuración!$B$5))</f>
        <v>NO APLICA</v>
      </c>
      <c r="U22" s="20" t="str">
        <f>IF($T22="NO APLICA","NO APLICA",$T22*Configuración!$B$4)</f>
        <v>NO APLICA</v>
      </c>
      <c r="V22" s="20">
        <f>MAX(CEILING($O22/Configuración!$B$9,Configuración!$B$6),Configuración!$B$5)</f>
        <v>100</v>
      </c>
      <c r="W22" s="19" t="s">
        <v>277</v>
      </c>
      <c r="X22" s="33">
        <v>46079</v>
      </c>
      <c r="Y22" s="17"/>
    </row>
    <row r="23" spans="1:25" ht="15.6" x14ac:dyDescent="0.3">
      <c r="A23" s="19" t="str">
        <f>IF(OR(E23="",F23="",G23=""),"",E23&amp;"-"&amp;F23&amp;"-"&amp;G23&amp;"-"&amp;TEXT(COUNTIFS($E$2:E23,E23,$F$2:F23,F23,$G$2:G23,G23),"000"))</f>
        <v>PLA-BAN-PSL-003</v>
      </c>
      <c r="B23" s="19" t="s">
        <v>135</v>
      </c>
      <c r="C23" s="19" t="s">
        <v>366</v>
      </c>
      <c r="D23" s="19" t="s">
        <v>328</v>
      </c>
      <c r="E23" s="19" t="str">
        <f>_xlfn.XLOOKUP(B23,Configuración!A:A,Configuración!B:B,"")</f>
        <v>PLA</v>
      </c>
      <c r="F23" s="19" t="str" cm="1">
        <f t="array" ref="F23">IF($C23="","",_xlfn.XLOOKUP(1,(Configuración!D:D=$B23)*(Configuración!E:E=$C23),Configuración!F:F,""))</f>
        <v>BAN</v>
      </c>
      <c r="G23" s="19" t="str">
        <f>IF($D23="","",_xlfn.XLOOKUP($D23,Configuración!H:H,Configuración!I:I,""))</f>
        <v>PSL</v>
      </c>
      <c r="H23" s="19" t="s">
        <v>146</v>
      </c>
      <c r="I23" s="19" t="s">
        <v>146</v>
      </c>
      <c r="J23" s="19" t="s">
        <v>139</v>
      </c>
      <c r="K23" s="19" t="s">
        <v>276</v>
      </c>
      <c r="L23" s="20">
        <v>1855</v>
      </c>
      <c r="M23" s="20">
        <f t="shared" si="0"/>
        <v>470</v>
      </c>
      <c r="N23" s="20">
        <f t="shared" si="1"/>
        <v>1880</v>
      </c>
      <c r="O23" s="20">
        <v>2650</v>
      </c>
      <c r="P23" s="19" t="str">
        <f>IF($O23&lt;Configuración!$B$7,"NO","SI")</f>
        <v>SI</v>
      </c>
      <c r="Q23" s="20">
        <f>IF($P23="NO","NO APLICA",MAX(CEILING(($O23*(1-Configuración!$B$2))/Configuración!$B$3,Configuración!$B$6),Configuración!$B$5))</f>
        <v>270</v>
      </c>
      <c r="R23" s="20">
        <f>IF($Q23="NO APLICA","NO APLICA",$Q23*Configuración!$B$3)</f>
        <v>2160</v>
      </c>
      <c r="S23" s="19" t="str">
        <f>IF($O23&lt;Configuración!$B$8,"NO","SI")</f>
        <v>NO</v>
      </c>
      <c r="T23" s="20" t="str">
        <f>IF($S23="NO","NO APLICA",MAX(CEILING(($O23*(1-Configuración!$B$2))/Configuración!$B$4,Configuración!$B$6),Configuración!$B$5))</f>
        <v>NO APLICA</v>
      </c>
      <c r="U23" s="20" t="str">
        <f>IF($T23="NO APLICA","NO APLICA",$T23*Configuración!$B$4)</f>
        <v>NO APLICA</v>
      </c>
      <c r="V23" s="20">
        <f>MAX(CEILING($O23/Configuración!$B$9,Configuración!$B$6),Configuración!$B$5)</f>
        <v>100</v>
      </c>
      <c r="W23" s="19" t="s">
        <v>277</v>
      </c>
      <c r="X23" s="33">
        <v>46079</v>
      </c>
      <c r="Y23" s="17"/>
    </row>
    <row r="24" spans="1:25" ht="15.6" x14ac:dyDescent="0.3">
      <c r="A24" s="19" t="str">
        <f>IF(OR(E24="",F24="",G24=""),"",E24&amp;"-"&amp;F24&amp;"-"&amp;G24&amp;"-"&amp;TEXT(COUNTIFS($E$2:E24,E24,$F$2:F24,F24,$G$2:G24,G24),"000"))</f>
        <v>PLA-BAN-PSL-004</v>
      </c>
      <c r="B24" s="19" t="s">
        <v>135</v>
      </c>
      <c r="C24" s="19" t="s">
        <v>366</v>
      </c>
      <c r="D24" s="19" t="s">
        <v>328</v>
      </c>
      <c r="E24" s="19" t="str">
        <f>_xlfn.XLOOKUP(B24,Configuración!A:A,Configuración!B:B,"")</f>
        <v>PLA</v>
      </c>
      <c r="F24" s="19" t="str" cm="1">
        <f t="array" ref="F24">IF($C24="","",_xlfn.XLOOKUP(1,(Configuración!D:D=$B24)*(Configuración!E:E=$C24),Configuración!F:F,""))</f>
        <v>BAN</v>
      </c>
      <c r="G24" s="19" t="str">
        <f>IF($D24="","",_xlfn.XLOOKUP($D24,Configuración!H:H,Configuración!I:I,""))</f>
        <v>PSL</v>
      </c>
      <c r="H24" s="19" t="s">
        <v>147</v>
      </c>
      <c r="I24" s="19" t="s">
        <v>147</v>
      </c>
      <c r="J24" s="19" t="s">
        <v>139</v>
      </c>
      <c r="K24" s="19" t="s">
        <v>276</v>
      </c>
      <c r="L24" s="20">
        <v>2450</v>
      </c>
      <c r="M24" s="20">
        <f t="shared" si="0"/>
        <v>620</v>
      </c>
      <c r="N24" s="20">
        <f t="shared" si="1"/>
        <v>2480</v>
      </c>
      <c r="O24" s="20">
        <v>3500</v>
      </c>
      <c r="P24" s="19" t="str">
        <f>IF($O24&lt;Configuración!$B$7,"NO","SI")</f>
        <v>SI</v>
      </c>
      <c r="Q24" s="20">
        <f>IF($P24="NO","NO APLICA",MAX(CEILING(($O24*(1-Configuración!$B$2))/Configuración!$B$3,Configuración!$B$6),Configuración!$B$5))</f>
        <v>350</v>
      </c>
      <c r="R24" s="20">
        <f>IF($Q24="NO APLICA","NO APLICA",$Q24*Configuración!$B$3)</f>
        <v>2800</v>
      </c>
      <c r="S24" s="19" t="str">
        <f>IF($O24&lt;Configuración!$B$8,"NO","SI")</f>
        <v>SI</v>
      </c>
      <c r="T24" s="20">
        <f>IF($S24="NO","NO APLICA",MAX(CEILING(($O24*(1-Configuración!$B$2))/Configuración!$B$4,Configuración!$B$6),Configuración!$B$5))</f>
        <v>240</v>
      </c>
      <c r="U24" s="20">
        <f>IF($T24="NO APLICA","NO APLICA",$T24*Configuración!$B$4)</f>
        <v>2880</v>
      </c>
      <c r="V24" s="20">
        <f>MAX(CEILING($O24/Configuración!$B$9,Configuración!$B$6),Configuración!$B$5)</f>
        <v>100</v>
      </c>
      <c r="W24" s="19" t="s">
        <v>277</v>
      </c>
      <c r="X24" s="33">
        <v>46079</v>
      </c>
      <c r="Y24" s="17"/>
    </row>
    <row r="25" spans="1:25" ht="15.6" x14ac:dyDescent="0.3">
      <c r="A25" s="19" t="str">
        <f>IF(OR(E25="",F25="",G25=""),"",E25&amp;"-"&amp;F25&amp;"-"&amp;G25&amp;"-"&amp;TEXT(COUNTIFS($E$2:E25,E25,$F$2:F25,F25,$G$2:G25,G25),"000"))</f>
        <v>PLA-BAN-PSL-005</v>
      </c>
      <c r="B25" s="19" t="s">
        <v>135</v>
      </c>
      <c r="C25" s="19" t="s">
        <v>366</v>
      </c>
      <c r="D25" s="19" t="s">
        <v>328</v>
      </c>
      <c r="E25" s="19" t="str">
        <f>_xlfn.XLOOKUP(B25,Configuración!A:A,Configuración!B:B,"")</f>
        <v>PLA</v>
      </c>
      <c r="F25" s="19" t="str" cm="1">
        <f t="array" ref="F25">IF($C25="","",_xlfn.XLOOKUP(1,(Configuración!D:D=$B25)*(Configuración!E:E=$C25),Configuración!F:F,""))</f>
        <v>BAN</v>
      </c>
      <c r="G25" s="19" t="str">
        <f>IF($D25="","",_xlfn.XLOOKUP($D25,Configuración!H:H,Configuración!I:I,""))</f>
        <v>PSL</v>
      </c>
      <c r="H25" s="19" t="s">
        <v>148</v>
      </c>
      <c r="I25" s="19" t="s">
        <v>148</v>
      </c>
      <c r="J25" s="19" t="s">
        <v>139</v>
      </c>
      <c r="K25" s="19" t="s">
        <v>276</v>
      </c>
      <c r="L25" s="20">
        <v>2660</v>
      </c>
      <c r="M25" s="20">
        <f t="shared" si="0"/>
        <v>670</v>
      </c>
      <c r="N25" s="20">
        <f t="shared" si="1"/>
        <v>2680</v>
      </c>
      <c r="O25" s="20">
        <v>3700</v>
      </c>
      <c r="P25" s="19" t="str">
        <f>IF($O25&lt;Configuración!$B$7,"NO","SI")</f>
        <v>SI</v>
      </c>
      <c r="Q25" s="20">
        <f>IF($P25="NO","NO APLICA",MAX(CEILING(($O25*(1-Configuración!$B$2))/Configuración!$B$3,Configuración!$B$6),Configuración!$B$5))</f>
        <v>370</v>
      </c>
      <c r="R25" s="20">
        <f>IF($Q25="NO APLICA","NO APLICA",$Q25*Configuración!$B$3)</f>
        <v>2960</v>
      </c>
      <c r="S25" s="19" t="str">
        <f>IF($O25&lt;Configuración!$B$8,"NO","SI")</f>
        <v>SI</v>
      </c>
      <c r="T25" s="20">
        <f>IF($S25="NO","NO APLICA",MAX(CEILING(($O25*(1-Configuración!$B$2))/Configuración!$B$4,Configuración!$B$6),Configuración!$B$5))</f>
        <v>250</v>
      </c>
      <c r="U25" s="20">
        <f>IF($T25="NO APLICA","NO APLICA",$T25*Configuración!$B$4)</f>
        <v>3000</v>
      </c>
      <c r="V25" s="20">
        <f>MAX(CEILING($O25/Configuración!$B$9,Configuración!$B$6),Configuración!$B$5)</f>
        <v>100</v>
      </c>
      <c r="W25" s="19" t="s">
        <v>277</v>
      </c>
      <c r="X25" s="33">
        <v>46079</v>
      </c>
      <c r="Y25" s="17"/>
    </row>
    <row r="26" spans="1:25" ht="15.6" x14ac:dyDescent="0.3">
      <c r="A26" s="19" t="str">
        <f>IF(OR(E26="",F26="",G26=""),"",E26&amp;"-"&amp;F26&amp;"-"&amp;G26&amp;"-"&amp;TEXT(COUNTIFS($E$2:E26,E26,$F$2:F26,F26,$G$2:G26,G26),"000"))</f>
        <v>PLA-BAN-PSL-006</v>
      </c>
      <c r="B26" s="19" t="s">
        <v>135</v>
      </c>
      <c r="C26" s="19" t="s">
        <v>366</v>
      </c>
      <c r="D26" s="19" t="s">
        <v>328</v>
      </c>
      <c r="E26" s="19" t="str">
        <f>_xlfn.XLOOKUP(B26,Configuración!A:A,Configuración!B:B,"")</f>
        <v>PLA</v>
      </c>
      <c r="F26" s="19" t="str" cm="1">
        <f t="array" ref="F26">IF($C26="","",_xlfn.XLOOKUP(1,(Configuración!D:D=$B26)*(Configuración!E:E=$C26),Configuración!F:F,""))</f>
        <v>BAN</v>
      </c>
      <c r="G26" s="19" t="str">
        <f>IF($D26="","",_xlfn.XLOOKUP($D26,Configuración!H:H,Configuración!I:I,""))</f>
        <v>PSL</v>
      </c>
      <c r="H26" s="19" t="s">
        <v>149</v>
      </c>
      <c r="I26" s="19" t="s">
        <v>149</v>
      </c>
      <c r="J26" s="19" t="s">
        <v>137</v>
      </c>
      <c r="K26" s="19" t="s">
        <v>276</v>
      </c>
      <c r="L26" s="20">
        <v>3950</v>
      </c>
      <c r="M26" s="20">
        <f t="shared" si="0"/>
        <v>990</v>
      </c>
      <c r="N26" s="20">
        <f t="shared" si="1"/>
        <v>3960</v>
      </c>
      <c r="O26" s="20">
        <v>6000</v>
      </c>
      <c r="P26" s="19" t="str">
        <f>IF($O26&lt;Configuración!$B$7,"NO","SI")</f>
        <v>SI</v>
      </c>
      <c r="Q26" s="20">
        <f>IF($P26="NO","NO APLICA",MAX(CEILING(($O26*(1-Configuración!$B$2))/Configuración!$B$3,Configuración!$B$6),Configuración!$B$5))</f>
        <v>600</v>
      </c>
      <c r="R26" s="20">
        <f>IF($Q26="NO APLICA","NO APLICA",$Q26*Configuración!$B$3)</f>
        <v>4800</v>
      </c>
      <c r="S26" s="19" t="str">
        <f>IF($O26&lt;Configuración!$B$8,"NO","SI")</f>
        <v>SI</v>
      </c>
      <c r="T26" s="20">
        <f>IF($S26="NO","NO APLICA",MAX(CEILING(($O26*(1-Configuración!$B$2))/Configuración!$B$4,Configuración!$B$6),Configuración!$B$5))</f>
        <v>400</v>
      </c>
      <c r="U26" s="20">
        <f>IF($T26="NO APLICA","NO APLICA",$T26*Configuración!$B$4)</f>
        <v>4800</v>
      </c>
      <c r="V26" s="20">
        <f>MAX(CEILING($O26/Configuración!$B$9,Configuración!$B$6),Configuración!$B$5)</f>
        <v>120</v>
      </c>
      <c r="W26" s="19" t="s">
        <v>277</v>
      </c>
      <c r="X26" s="33">
        <v>46079</v>
      </c>
      <c r="Y26" s="17"/>
    </row>
    <row r="27" spans="1:25" ht="15.6" x14ac:dyDescent="0.3">
      <c r="A27" s="19" t="str">
        <f>IF(OR(E27="",F27="",G27=""),"",E27&amp;"-"&amp;F27&amp;"-"&amp;G27&amp;"-"&amp;TEXT(COUNTIFS($E$2:E27,E27,$F$2:F27,F27,$G$2:G27,G27),"000"))</f>
        <v>PLA-BAN-PSL-007</v>
      </c>
      <c r="B27" s="19" t="s">
        <v>135</v>
      </c>
      <c r="C27" s="19" t="s">
        <v>366</v>
      </c>
      <c r="D27" s="19" t="s">
        <v>328</v>
      </c>
      <c r="E27" s="19" t="str">
        <f>_xlfn.XLOOKUP(B27,Configuración!A:A,Configuración!B:B,"")</f>
        <v>PLA</v>
      </c>
      <c r="F27" s="19" t="str" cm="1">
        <f t="array" ref="F27">IF($C27="","",_xlfn.XLOOKUP(1,(Configuración!D:D=$B27)*(Configuración!E:E=$C27),Configuración!F:F,""))</f>
        <v>BAN</v>
      </c>
      <c r="G27" s="19" t="str">
        <f>IF($D27="","",_xlfn.XLOOKUP($D27,Configuración!H:H,Configuración!I:I,""))</f>
        <v>PSL</v>
      </c>
      <c r="H27" s="19" t="s">
        <v>150</v>
      </c>
      <c r="I27" s="19" t="s">
        <v>150</v>
      </c>
      <c r="J27" s="19" t="s">
        <v>139</v>
      </c>
      <c r="K27" s="19" t="s">
        <v>276</v>
      </c>
      <c r="L27" s="20">
        <v>4340</v>
      </c>
      <c r="M27" s="20">
        <f t="shared" si="0"/>
        <v>1090</v>
      </c>
      <c r="N27" s="20">
        <f t="shared" si="1"/>
        <v>4360</v>
      </c>
      <c r="O27" s="20">
        <v>6600</v>
      </c>
      <c r="P27" s="19" t="str">
        <f>IF($O27&lt;Configuración!$B$7,"NO","SI")</f>
        <v>SI</v>
      </c>
      <c r="Q27" s="20">
        <f>IF($P27="NO","NO APLICA",MAX(CEILING(($O27*(1-Configuración!$B$2))/Configuración!$B$3,Configuración!$B$6),Configuración!$B$5))</f>
        <v>660</v>
      </c>
      <c r="R27" s="20">
        <f>IF($Q27="NO APLICA","NO APLICA",$Q27*Configuración!$B$3)</f>
        <v>5280</v>
      </c>
      <c r="S27" s="19" t="str">
        <f>IF($O27&lt;Configuración!$B$8,"NO","SI")</f>
        <v>SI</v>
      </c>
      <c r="T27" s="20">
        <f>IF($S27="NO","NO APLICA",MAX(CEILING(($O27*(1-Configuración!$B$2))/Configuración!$B$4,Configuración!$B$6),Configuración!$B$5))</f>
        <v>440</v>
      </c>
      <c r="U27" s="20">
        <f>IF($T27="NO APLICA","NO APLICA",$T27*Configuración!$B$4)</f>
        <v>5280</v>
      </c>
      <c r="V27" s="20">
        <f>MAX(CEILING($O27/Configuración!$B$9,Configuración!$B$6),Configuración!$B$5)</f>
        <v>130</v>
      </c>
      <c r="W27" s="19" t="s">
        <v>277</v>
      </c>
      <c r="X27" s="33">
        <v>46079</v>
      </c>
      <c r="Y27" s="17"/>
    </row>
    <row r="28" spans="1:25" ht="15.6" x14ac:dyDescent="0.3">
      <c r="A28" s="19" t="str">
        <f>IF(OR(E28="",F28="",G28=""),"",E28&amp;"-"&amp;F28&amp;"-"&amp;G28&amp;"-"&amp;TEXT(COUNTIFS($E$2:E28,E28,$F$2:F28,F28,$G$2:G28,G28),"000"))</f>
        <v>PLA-BAN-PSL-008</v>
      </c>
      <c r="B28" s="19" t="s">
        <v>135</v>
      </c>
      <c r="C28" s="19" t="s">
        <v>366</v>
      </c>
      <c r="D28" s="19" t="s">
        <v>328</v>
      </c>
      <c r="E28" s="19" t="str">
        <f>_xlfn.XLOOKUP(B28,Configuración!A:A,Configuración!B:B,"")</f>
        <v>PLA</v>
      </c>
      <c r="F28" s="19" t="str" cm="1">
        <f t="array" ref="F28">IF($C28="","",_xlfn.XLOOKUP(1,(Configuración!D:D=$B28)*(Configuración!E:E=$C28),Configuración!F:F,""))</f>
        <v>BAN</v>
      </c>
      <c r="G28" s="19" t="str">
        <f>IF($D28="","",_xlfn.XLOOKUP($D28,Configuración!H:H,Configuración!I:I,""))</f>
        <v>PSL</v>
      </c>
      <c r="H28" s="19" t="s">
        <v>151</v>
      </c>
      <c r="I28" s="19" t="s">
        <v>151</v>
      </c>
      <c r="J28" s="19" t="s">
        <v>139</v>
      </c>
      <c r="K28" s="19" t="s">
        <v>276</v>
      </c>
      <c r="L28" s="20">
        <v>5110</v>
      </c>
      <c r="M28" s="20">
        <f t="shared" si="0"/>
        <v>1280</v>
      </c>
      <c r="N28" s="20">
        <f t="shared" si="1"/>
        <v>5120</v>
      </c>
      <c r="O28" s="20">
        <v>7400</v>
      </c>
      <c r="P28" s="19" t="str">
        <f>IF($O28&lt;Configuración!$B$7,"NO","SI")</f>
        <v>SI</v>
      </c>
      <c r="Q28" s="20">
        <f>IF($P28="NO","NO APLICA",MAX(CEILING(($O28*(1-Configuración!$B$2))/Configuración!$B$3,Configuración!$B$6),Configuración!$B$5))</f>
        <v>740</v>
      </c>
      <c r="R28" s="20">
        <f>IF($Q28="NO APLICA","NO APLICA",$Q28*Configuración!$B$3)</f>
        <v>5920</v>
      </c>
      <c r="S28" s="19" t="str">
        <f>IF($O28&lt;Configuración!$B$8,"NO","SI")</f>
        <v>SI</v>
      </c>
      <c r="T28" s="20">
        <f>IF($S28="NO","NO APLICA",MAX(CEILING(($O28*(1-Configuración!$B$2))/Configuración!$B$4,Configuración!$B$6),Configuración!$B$5))</f>
        <v>500</v>
      </c>
      <c r="U28" s="20">
        <f>IF($T28="NO APLICA","NO APLICA",$T28*Configuración!$B$4)</f>
        <v>6000</v>
      </c>
      <c r="V28" s="20">
        <f>MAX(CEILING($O28/Configuración!$B$9,Configuración!$B$6),Configuración!$B$5)</f>
        <v>150</v>
      </c>
      <c r="W28" s="19" t="s">
        <v>277</v>
      </c>
      <c r="X28" s="33">
        <v>46079</v>
      </c>
      <c r="Y28" s="17"/>
    </row>
    <row r="29" spans="1:25" ht="15.6" x14ac:dyDescent="0.3">
      <c r="A29" s="19" t="str">
        <f>IF(OR(E29="",F29="",G29=""),"",E29&amp;"-"&amp;F29&amp;"-"&amp;G29&amp;"-"&amp;TEXT(COUNTIFS($E$2:E29,E29,$F$2:F29,F29,$G$2:G29,G29),"000"))</f>
        <v>COC-BAT-ALU-001</v>
      </c>
      <c r="B29" s="19" t="s">
        <v>18</v>
      </c>
      <c r="C29" s="19" t="s">
        <v>314</v>
      </c>
      <c r="D29" s="19" t="s">
        <v>358</v>
      </c>
      <c r="E29" s="19" t="str">
        <f>_xlfn.XLOOKUP(B29,Configuración!A:A,Configuración!B:B,"")</f>
        <v>COC</v>
      </c>
      <c r="F29" s="19" t="str" cm="1">
        <f t="array" ref="F29">IF($C29="","",_xlfn.XLOOKUP(1,(Configuración!D:D=$B29)*(Configuración!E:E=$C29),Configuración!F:F,""))</f>
        <v>BAT</v>
      </c>
      <c r="G29" s="19" t="str">
        <f>IF($D29="","",_xlfn.XLOOKUP($D29,Configuración!H:H,Configuración!I:I,""))</f>
        <v>ALU</v>
      </c>
      <c r="H29" s="19" t="s">
        <v>60</v>
      </c>
      <c r="I29" s="19" t="s">
        <v>447</v>
      </c>
      <c r="J29" s="19" t="s">
        <v>34</v>
      </c>
      <c r="K29" s="19" t="s">
        <v>511</v>
      </c>
      <c r="L29" s="20">
        <v>2100</v>
      </c>
      <c r="M29" s="20">
        <f t="shared" si="0"/>
        <v>530</v>
      </c>
      <c r="N29" s="20">
        <f t="shared" si="1"/>
        <v>2120</v>
      </c>
      <c r="O29" s="20">
        <v>3000</v>
      </c>
      <c r="P29" s="19" t="str">
        <f>IF($O29&lt;Configuración!$B$7,"NO","SI")</f>
        <v>SI</v>
      </c>
      <c r="Q29" s="20">
        <f>IF($P29="NO","NO APLICA",MAX(CEILING(($O29*(1-Configuración!$B$2))/Configuración!$B$3,Configuración!$B$6),Configuración!$B$5))</f>
        <v>300</v>
      </c>
      <c r="R29" s="20">
        <f>IF($Q29="NO APLICA","NO APLICA",$Q29*Configuración!$B$3)</f>
        <v>2400</v>
      </c>
      <c r="S29" s="19" t="str">
        <f>IF($O29&lt;Configuración!$B$8,"NO","SI")</f>
        <v>SI</v>
      </c>
      <c r="T29" s="20">
        <f>IF($S29="NO","NO APLICA",MAX(CEILING(($O29*(1-Configuración!$B$2))/Configuración!$B$4,Configuración!$B$6),Configuración!$B$5))</f>
        <v>200</v>
      </c>
      <c r="U29" s="20">
        <f>IF($T29="NO APLICA","NO APLICA",$T29*Configuración!$B$4)</f>
        <v>2400</v>
      </c>
      <c r="V29" s="20">
        <f>MAX(CEILING($O29/Configuración!$B$9,Configuración!$B$6),Configuración!$B$5)</f>
        <v>100</v>
      </c>
      <c r="W29" s="19" t="s">
        <v>277</v>
      </c>
      <c r="X29" s="33">
        <v>46079</v>
      </c>
      <c r="Y29" s="17"/>
    </row>
    <row r="30" spans="1:25" ht="15.6" x14ac:dyDescent="0.3">
      <c r="A30" s="19" t="str">
        <f>IF(OR(E30="",F30="",G30=""),"",E30&amp;"-"&amp;F30&amp;"-"&amp;G30&amp;"-"&amp;TEXT(COUNTIFS($E$2:E30,E30,$F$2:F30,F30,$G$2:G30,G30),"000"))</f>
        <v>COC-BAT-ALU-002</v>
      </c>
      <c r="B30" s="19" t="s">
        <v>18</v>
      </c>
      <c r="C30" s="19" t="s">
        <v>314</v>
      </c>
      <c r="D30" s="19" t="s">
        <v>358</v>
      </c>
      <c r="E30" s="19" t="str">
        <f>_xlfn.XLOOKUP(B30,Configuración!A:A,Configuración!B:B,"")</f>
        <v>COC</v>
      </c>
      <c r="F30" s="19" t="str" cm="1">
        <f t="array" ref="F30">IF($C30="","",_xlfn.XLOOKUP(1,(Configuración!D:D=$B30)*(Configuración!E:E=$C30),Configuración!F:F,""))</f>
        <v>BAT</v>
      </c>
      <c r="G30" s="19" t="str">
        <f>IF($D30="","",_xlfn.XLOOKUP($D30,Configuración!H:H,Configuración!I:I,""))</f>
        <v>ALU</v>
      </c>
      <c r="H30" s="19" t="s">
        <v>59</v>
      </c>
      <c r="I30" s="19" t="s">
        <v>446</v>
      </c>
      <c r="J30" s="19" t="s">
        <v>34</v>
      </c>
      <c r="K30" s="19" t="s">
        <v>498</v>
      </c>
      <c r="L30" s="20">
        <v>2520</v>
      </c>
      <c r="M30" s="20">
        <f t="shared" si="0"/>
        <v>630</v>
      </c>
      <c r="N30" s="20">
        <f t="shared" si="1"/>
        <v>2520</v>
      </c>
      <c r="O30" s="20">
        <v>4000</v>
      </c>
      <c r="P30" s="19" t="str">
        <f>IF($O30&lt;Configuración!$B$7,"NO","SI")</f>
        <v>SI</v>
      </c>
      <c r="Q30" s="20">
        <f>IF($P30="NO","NO APLICA",MAX(CEILING(($O30*(1-Configuración!$B$2))/Configuración!$B$3,Configuración!$B$6),Configuración!$B$5))</f>
        <v>400</v>
      </c>
      <c r="R30" s="20">
        <f>IF($Q30="NO APLICA","NO APLICA",$Q30*Configuración!$B$3)</f>
        <v>3200</v>
      </c>
      <c r="S30" s="19" t="str">
        <f>IF($O30&lt;Configuración!$B$8,"NO","SI")</f>
        <v>SI</v>
      </c>
      <c r="T30" s="20">
        <f>IF($S30="NO","NO APLICA",MAX(CEILING(($O30*(1-Configuración!$B$2))/Configuración!$B$4,Configuración!$B$6),Configuración!$B$5))</f>
        <v>270</v>
      </c>
      <c r="U30" s="20">
        <f>IF($T30="NO APLICA","NO APLICA",$T30*Configuración!$B$4)</f>
        <v>3240</v>
      </c>
      <c r="V30" s="20">
        <f>MAX(CEILING($O30/Configuración!$B$9,Configuración!$B$6),Configuración!$B$5)</f>
        <v>100</v>
      </c>
      <c r="W30" s="19" t="s">
        <v>277</v>
      </c>
      <c r="X30" s="33">
        <v>46079</v>
      </c>
      <c r="Y30" s="17"/>
    </row>
    <row r="31" spans="1:25" ht="15.6" x14ac:dyDescent="0.3">
      <c r="A31" s="19" t="str">
        <f>IF(OR(E31="",F31="",G31=""),"",E31&amp;"-"&amp;F31&amp;"-"&amp;G31&amp;"-"&amp;TEXT(COUNTIFS($E$2:E31,E31,$F$2:F31,F31,$G$2:G31,G31),"000"))</f>
        <v>COC-BAT-PEL-001</v>
      </c>
      <c r="B31" s="19" t="s">
        <v>18</v>
      </c>
      <c r="C31" s="19" t="s">
        <v>314</v>
      </c>
      <c r="D31" s="19" t="s">
        <v>364</v>
      </c>
      <c r="E31" s="19" t="str">
        <f>_xlfn.XLOOKUP(B31,Configuración!A:A,Configuración!B:B,"")</f>
        <v>COC</v>
      </c>
      <c r="F31" s="19" t="str" cm="1">
        <f t="array" ref="F31">IF($C31="","",_xlfn.XLOOKUP(1,(Configuración!D:D=$B31)*(Configuración!E:E=$C31),Configuración!F:F,""))</f>
        <v>BAT</v>
      </c>
      <c r="G31" s="19" t="str">
        <f>IF($D31="","",_xlfn.XLOOKUP($D31,Configuración!H:H,Configuración!I:I,""))</f>
        <v>PEL</v>
      </c>
      <c r="H31" s="19" t="s">
        <v>80</v>
      </c>
      <c r="I31" s="19" t="s">
        <v>462</v>
      </c>
      <c r="J31" s="19" t="s">
        <v>70</v>
      </c>
      <c r="K31" s="19" t="s">
        <v>498</v>
      </c>
      <c r="L31" s="20">
        <v>2520</v>
      </c>
      <c r="M31" s="20">
        <f t="shared" si="0"/>
        <v>630</v>
      </c>
      <c r="N31" s="20">
        <f t="shared" si="1"/>
        <v>2520</v>
      </c>
      <c r="O31" s="20">
        <v>3600</v>
      </c>
      <c r="P31" s="19" t="str">
        <f>IF($O31&lt;Configuración!$B$7,"NO","SI")</f>
        <v>SI</v>
      </c>
      <c r="Q31" s="20">
        <f>IF($P31="NO","NO APLICA",MAX(CEILING(($O31*(1-Configuración!$B$2))/Configuración!$B$3,Configuración!$B$6),Configuración!$B$5))</f>
        <v>360</v>
      </c>
      <c r="R31" s="20">
        <f>IF($Q31="NO APLICA","NO APLICA",$Q31*Configuración!$B$3)</f>
        <v>2880</v>
      </c>
      <c r="S31" s="19" t="str">
        <f>IF($O31&lt;Configuración!$B$8,"NO","SI")</f>
        <v>SI</v>
      </c>
      <c r="T31" s="20">
        <f>IF($S31="NO","NO APLICA",MAX(CEILING(($O31*(1-Configuración!$B$2))/Configuración!$B$4,Configuración!$B$6),Configuración!$B$5))</f>
        <v>240</v>
      </c>
      <c r="U31" s="20">
        <f>IF($T31="NO APLICA","NO APLICA",$T31*Configuración!$B$4)</f>
        <v>2880</v>
      </c>
      <c r="V31" s="20">
        <f>MAX(CEILING($O31/Configuración!$B$9,Configuración!$B$6),Configuración!$B$5)</f>
        <v>100</v>
      </c>
      <c r="W31" s="19" t="s">
        <v>277</v>
      </c>
      <c r="X31" s="33">
        <v>46079</v>
      </c>
      <c r="Y31" s="17"/>
    </row>
    <row r="32" spans="1:25" ht="15.6" x14ac:dyDescent="0.3">
      <c r="A32" s="19" t="str">
        <f>IF(OR(E32="",F32="",G32=""),"",E32&amp;"-"&amp;F32&amp;"-"&amp;G32&amp;"-"&amp;TEXT(COUNTIFS($E$2:E32,E32,$F$2:F32,F32,$G$2:G32,G32),"000"))</f>
        <v>COC-BAT-PEL-002</v>
      </c>
      <c r="B32" s="19" t="s">
        <v>18</v>
      </c>
      <c r="C32" s="19" t="s">
        <v>314</v>
      </c>
      <c r="D32" s="19" t="s">
        <v>364</v>
      </c>
      <c r="E32" s="19" t="str">
        <f>_xlfn.XLOOKUP(B32,Configuración!A:A,Configuración!B:B,"")</f>
        <v>COC</v>
      </c>
      <c r="F32" s="19" t="str" cm="1">
        <f t="array" ref="F32">IF($C32="","",_xlfn.XLOOKUP(1,(Configuración!D:D=$B32)*(Configuración!E:E=$C32),Configuración!F:F,""))</f>
        <v>BAT</v>
      </c>
      <c r="G32" s="19" t="str">
        <f>IF($D32="","",_xlfn.XLOOKUP($D32,Configuración!H:H,Configuración!I:I,""))</f>
        <v>PEL</v>
      </c>
      <c r="H32" s="19" t="s">
        <v>83</v>
      </c>
      <c r="I32" s="19" t="s">
        <v>465</v>
      </c>
      <c r="J32" s="19" t="s">
        <v>72</v>
      </c>
      <c r="K32" s="19" t="s">
        <v>498</v>
      </c>
      <c r="L32" s="20">
        <v>3500</v>
      </c>
      <c r="M32" s="20">
        <f t="shared" si="0"/>
        <v>880</v>
      </c>
      <c r="N32" s="20">
        <f t="shared" si="1"/>
        <v>3520</v>
      </c>
      <c r="O32" s="20">
        <v>5000</v>
      </c>
      <c r="P32" s="19" t="str">
        <f>IF($O32&lt;Configuración!$B$7,"NO","SI")</f>
        <v>SI</v>
      </c>
      <c r="Q32" s="20">
        <f>IF($P32="NO","NO APLICA",MAX(CEILING(($O32*(1-Configuración!$B$2))/Configuración!$B$3,Configuración!$B$6),Configuración!$B$5))</f>
        <v>500</v>
      </c>
      <c r="R32" s="20">
        <f>IF($Q32="NO APLICA","NO APLICA",$Q32*Configuración!$B$3)</f>
        <v>4000</v>
      </c>
      <c r="S32" s="19" t="str">
        <f>IF($O32&lt;Configuración!$B$8,"NO","SI")</f>
        <v>SI</v>
      </c>
      <c r="T32" s="20">
        <f>IF($S32="NO","NO APLICA",MAX(CEILING(($O32*(1-Configuración!$B$2))/Configuración!$B$4,Configuración!$B$6),Configuración!$B$5))</f>
        <v>340</v>
      </c>
      <c r="U32" s="20">
        <f>IF($T32="NO APLICA","NO APLICA",$T32*Configuración!$B$4)</f>
        <v>4080</v>
      </c>
      <c r="V32" s="20">
        <f>MAX(CEILING($O32/Configuración!$B$9,Configuración!$B$6),Configuración!$B$5)</f>
        <v>100</v>
      </c>
      <c r="W32" s="19" t="s">
        <v>277</v>
      </c>
      <c r="X32" s="33">
        <v>46079</v>
      </c>
      <c r="Y32" s="17"/>
    </row>
    <row r="33" spans="1:25" ht="15.6" x14ac:dyDescent="0.3">
      <c r="A33" s="19" t="str">
        <f>IF(OR(E33="",F33="",G33=""),"",E33&amp;"-"&amp;F33&amp;"-"&amp;G33&amp;"-"&amp;TEXT(COUNTIFS($E$2:E33,E33,$F$2:F33,F33,$G$2:G33,G33),"000"))</f>
        <v>COC-BAT-PEL-003</v>
      </c>
      <c r="B33" s="19" t="s">
        <v>18</v>
      </c>
      <c r="C33" s="19" t="s">
        <v>314</v>
      </c>
      <c r="D33" s="19" t="s">
        <v>364</v>
      </c>
      <c r="E33" s="19" t="str">
        <f>_xlfn.XLOOKUP(B33,Configuración!A:A,Configuración!B:B,"")</f>
        <v>COC</v>
      </c>
      <c r="F33" s="19" t="str" cm="1">
        <f t="array" ref="F33">IF($C33="","",_xlfn.XLOOKUP(1,(Configuración!D:D=$B33)*(Configuración!E:E=$C33),Configuración!F:F,""))</f>
        <v>BAT</v>
      </c>
      <c r="G33" s="19" t="str">
        <f>IF($D33="","",_xlfn.XLOOKUP($D33,Configuración!H:H,Configuración!I:I,""))</f>
        <v>PEL</v>
      </c>
      <c r="H33" s="19" t="s">
        <v>90</v>
      </c>
      <c r="I33" s="19" t="s">
        <v>472</v>
      </c>
      <c r="J33" s="19" t="s">
        <v>72</v>
      </c>
      <c r="K33" s="19" t="s">
        <v>498</v>
      </c>
      <c r="L33" s="20">
        <v>2100</v>
      </c>
      <c r="M33" s="20">
        <f t="shared" si="0"/>
        <v>530</v>
      </c>
      <c r="N33" s="20">
        <f t="shared" si="1"/>
        <v>2120</v>
      </c>
      <c r="O33" s="20">
        <v>3000</v>
      </c>
      <c r="P33" s="19" t="str">
        <f>IF($O33&lt;Configuración!$B$7,"NO","SI")</f>
        <v>SI</v>
      </c>
      <c r="Q33" s="20">
        <f>IF($P33="NO","NO APLICA",MAX(CEILING(($O33*(1-Configuración!$B$2))/Configuración!$B$3,Configuración!$B$6),Configuración!$B$5))</f>
        <v>300</v>
      </c>
      <c r="R33" s="20">
        <f>IF($Q33="NO APLICA","NO APLICA",$Q33*Configuración!$B$3)</f>
        <v>2400</v>
      </c>
      <c r="S33" s="19" t="str">
        <f>IF($O33&lt;Configuración!$B$8,"NO","SI")</f>
        <v>SI</v>
      </c>
      <c r="T33" s="20">
        <f>IF($S33="NO","NO APLICA",MAX(CEILING(($O33*(1-Configuración!$B$2))/Configuración!$B$4,Configuración!$B$6),Configuración!$B$5))</f>
        <v>200</v>
      </c>
      <c r="U33" s="20">
        <f>IF($T33="NO APLICA","NO APLICA",$T33*Configuración!$B$4)</f>
        <v>2400</v>
      </c>
      <c r="V33" s="20">
        <f>MAX(CEILING($O33/Configuración!$B$9,Configuración!$B$6),Configuración!$B$5)</f>
        <v>100</v>
      </c>
      <c r="W33" s="19" t="s">
        <v>277</v>
      </c>
      <c r="X33" s="33">
        <v>46079</v>
      </c>
      <c r="Y33" s="17"/>
    </row>
    <row r="34" spans="1:25" ht="15.6" x14ac:dyDescent="0.3">
      <c r="A34" s="19" t="str">
        <f>IF(OR(E34="",F34="",G34=""),"",E34&amp;"-"&amp;F34&amp;"-"&amp;G34&amp;"-"&amp;TEXT(COUNTIFS($E$2:E34,E34,$F$2:F34,F34,$G$2:G34,G34),"000"))</f>
        <v>COC-BAT-PEL-004</v>
      </c>
      <c r="B34" s="19" t="s">
        <v>18</v>
      </c>
      <c r="C34" s="19" t="s">
        <v>314</v>
      </c>
      <c r="D34" s="19" t="s">
        <v>364</v>
      </c>
      <c r="E34" s="19" t="str">
        <f>_xlfn.XLOOKUP(B34,Configuración!A:A,Configuración!B:B,"")</f>
        <v>COC</v>
      </c>
      <c r="F34" s="19" t="str" cm="1">
        <f t="array" ref="F34">IF($C34="","",_xlfn.XLOOKUP(1,(Configuración!D:D=$B34)*(Configuración!E:E=$C34),Configuración!F:F,""))</f>
        <v>BAT</v>
      </c>
      <c r="G34" s="19" t="str">
        <f>IF($D34="","",_xlfn.XLOOKUP($D34,Configuración!H:H,Configuración!I:I,""))</f>
        <v>PEL</v>
      </c>
      <c r="H34" s="19" t="s">
        <v>91</v>
      </c>
      <c r="I34" s="19" t="s">
        <v>473</v>
      </c>
      <c r="J34" s="19" t="s">
        <v>72</v>
      </c>
      <c r="K34" s="19" t="s">
        <v>498</v>
      </c>
      <c r="L34" s="20">
        <v>2100</v>
      </c>
      <c r="M34" s="20">
        <f t="shared" ref="M34:M65" si="2">MAX(CEILING(L34/4,10),100)</f>
        <v>530</v>
      </c>
      <c r="N34" s="20">
        <f t="shared" ref="N34:N65" si="3">M34*4</f>
        <v>2120</v>
      </c>
      <c r="O34" s="20">
        <v>3000</v>
      </c>
      <c r="P34" s="19" t="str">
        <f>IF($O34&lt;Configuración!$B$7,"NO","SI")</f>
        <v>SI</v>
      </c>
      <c r="Q34" s="20">
        <f>IF($P34="NO","NO APLICA",MAX(CEILING(($O34*(1-Configuración!$B$2))/Configuración!$B$3,Configuración!$B$6),Configuración!$B$5))</f>
        <v>300</v>
      </c>
      <c r="R34" s="20">
        <f>IF($Q34="NO APLICA","NO APLICA",$Q34*Configuración!$B$3)</f>
        <v>2400</v>
      </c>
      <c r="S34" s="19" t="str">
        <f>IF($O34&lt;Configuración!$B$8,"NO","SI")</f>
        <v>SI</v>
      </c>
      <c r="T34" s="20">
        <f>IF($S34="NO","NO APLICA",MAX(CEILING(($O34*(1-Configuración!$B$2))/Configuración!$B$4,Configuración!$B$6),Configuración!$B$5))</f>
        <v>200</v>
      </c>
      <c r="U34" s="20">
        <f>IF($T34="NO APLICA","NO APLICA",$T34*Configuración!$B$4)</f>
        <v>2400</v>
      </c>
      <c r="V34" s="20">
        <f>MAX(CEILING($O34/Configuración!$B$9,Configuración!$B$6),Configuración!$B$5)</f>
        <v>100</v>
      </c>
      <c r="W34" s="19" t="s">
        <v>277</v>
      </c>
      <c r="X34" s="33">
        <v>46079</v>
      </c>
      <c r="Y34" s="17"/>
    </row>
    <row r="35" spans="1:25" ht="15.6" x14ac:dyDescent="0.3">
      <c r="A35" s="19" t="str">
        <f>IF(OR(E35="",F35="",G35=""),"",E35&amp;"-"&amp;F35&amp;"-"&amp;G35&amp;"-"&amp;TEXT(COUNTIFS($E$2:E35,E35,$F$2:F35,F35,$G$2:G35,G35),"000"))</f>
        <v>COC-BAT-PEL-005</v>
      </c>
      <c r="B35" s="19" t="s">
        <v>18</v>
      </c>
      <c r="C35" s="19" t="s">
        <v>314</v>
      </c>
      <c r="D35" s="19" t="s">
        <v>364</v>
      </c>
      <c r="E35" s="19" t="str">
        <f>_xlfn.XLOOKUP(B35,Configuración!A:A,Configuración!B:B,"")</f>
        <v>COC</v>
      </c>
      <c r="F35" s="19" t="str" cm="1">
        <f t="array" ref="F35">IF($C35="","",_xlfn.XLOOKUP(1,(Configuración!D:D=$B35)*(Configuración!E:E=$C35),Configuración!F:F,""))</f>
        <v>BAT</v>
      </c>
      <c r="G35" s="19" t="str">
        <f>IF($D35="","",_xlfn.XLOOKUP($D35,Configuración!H:H,Configuración!I:I,""))</f>
        <v>PEL</v>
      </c>
      <c r="H35" s="19" t="s">
        <v>81</v>
      </c>
      <c r="I35" s="19" t="s">
        <v>463</v>
      </c>
      <c r="J35" s="19" t="s">
        <v>70</v>
      </c>
      <c r="K35" s="19" t="s">
        <v>498</v>
      </c>
      <c r="L35" s="20">
        <v>3500</v>
      </c>
      <c r="M35" s="20">
        <f t="shared" si="2"/>
        <v>880</v>
      </c>
      <c r="N35" s="20">
        <f t="shared" si="3"/>
        <v>3520</v>
      </c>
      <c r="O35" s="20">
        <v>4995</v>
      </c>
      <c r="P35" s="19" t="str">
        <f>IF($O35&lt;Configuración!$B$7,"NO","SI")</f>
        <v>SI</v>
      </c>
      <c r="Q35" s="20">
        <f>IF($P35="NO","NO APLICA",MAX(CEILING(($O35*(1-Configuración!$B$2))/Configuración!$B$3,Configuración!$B$6),Configuración!$B$5))</f>
        <v>500</v>
      </c>
      <c r="R35" s="20">
        <f>IF($Q35="NO APLICA","NO APLICA",$Q35*Configuración!$B$3)</f>
        <v>4000</v>
      </c>
      <c r="S35" s="19" t="str">
        <f>IF($O35&lt;Configuración!$B$8,"NO","SI")</f>
        <v>SI</v>
      </c>
      <c r="T35" s="20">
        <f>IF($S35="NO","NO APLICA",MAX(CEILING(($O35*(1-Configuración!$B$2))/Configuración!$B$4,Configuración!$B$6),Configuración!$B$5))</f>
        <v>340</v>
      </c>
      <c r="U35" s="20">
        <f>IF($T35="NO APLICA","NO APLICA",$T35*Configuración!$B$4)</f>
        <v>4080</v>
      </c>
      <c r="V35" s="20">
        <f>MAX(CEILING($O35/Configuración!$B$9,Configuración!$B$6),Configuración!$B$5)</f>
        <v>100</v>
      </c>
      <c r="W35" s="19" t="s">
        <v>277</v>
      </c>
      <c r="X35" s="33">
        <v>46079</v>
      </c>
      <c r="Y35" s="17"/>
    </row>
    <row r="36" spans="1:25" ht="15.6" x14ac:dyDescent="0.3">
      <c r="A36" s="19" t="str">
        <f>IF(OR(E36="",F36="",G36=""),"",E36&amp;"-"&amp;F36&amp;"-"&amp;G36&amp;"-"&amp;TEXT(COUNTIFS($E$2:E36,E36,$F$2:F36,F36,$G$2:G36,G36),"000"))</f>
        <v>COC-BAT-PEL-006</v>
      </c>
      <c r="B36" s="19" t="s">
        <v>18</v>
      </c>
      <c r="C36" s="19" t="s">
        <v>314</v>
      </c>
      <c r="D36" s="19" t="s">
        <v>364</v>
      </c>
      <c r="E36" s="19" t="str">
        <f>_xlfn.XLOOKUP(B36,Configuración!A:A,Configuración!B:B,"")</f>
        <v>COC</v>
      </c>
      <c r="F36" s="19" t="str" cm="1">
        <f t="array" ref="F36">IF($C36="","",_xlfn.XLOOKUP(1,(Configuración!D:D=$B36)*(Configuración!E:E=$C36),Configuración!F:F,""))</f>
        <v>BAT</v>
      </c>
      <c r="G36" s="19" t="str">
        <f>IF($D36="","",_xlfn.XLOOKUP($D36,Configuración!H:H,Configuración!I:I,""))</f>
        <v>PEL</v>
      </c>
      <c r="H36" s="19" t="s">
        <v>82</v>
      </c>
      <c r="I36" s="19" t="s">
        <v>464</v>
      </c>
      <c r="J36" s="19" t="s">
        <v>72</v>
      </c>
      <c r="K36" s="19" t="s">
        <v>498</v>
      </c>
      <c r="L36" s="20">
        <v>2800</v>
      </c>
      <c r="M36" s="20">
        <f t="shared" si="2"/>
        <v>700</v>
      </c>
      <c r="N36" s="20">
        <f t="shared" si="3"/>
        <v>2800</v>
      </c>
      <c r="O36" s="20">
        <v>4000</v>
      </c>
      <c r="P36" s="19" t="str">
        <f>IF($O36&lt;Configuración!$B$7,"NO","SI")</f>
        <v>SI</v>
      </c>
      <c r="Q36" s="20">
        <f>IF($P36="NO","NO APLICA",MAX(CEILING(($O36*(1-Configuración!$B$2))/Configuración!$B$3,Configuración!$B$6),Configuración!$B$5))</f>
        <v>400</v>
      </c>
      <c r="R36" s="20">
        <f>IF($Q36="NO APLICA","NO APLICA",$Q36*Configuración!$B$3)</f>
        <v>3200</v>
      </c>
      <c r="S36" s="19" t="str">
        <f>IF($O36&lt;Configuración!$B$8,"NO","SI")</f>
        <v>SI</v>
      </c>
      <c r="T36" s="20">
        <f>IF($S36="NO","NO APLICA",MAX(CEILING(($O36*(1-Configuración!$B$2))/Configuración!$B$4,Configuración!$B$6),Configuración!$B$5))</f>
        <v>270</v>
      </c>
      <c r="U36" s="20">
        <f>IF($T36="NO APLICA","NO APLICA",$T36*Configuración!$B$4)</f>
        <v>3240</v>
      </c>
      <c r="V36" s="20">
        <f>MAX(CEILING($O36/Configuración!$B$9,Configuración!$B$6),Configuración!$B$5)</f>
        <v>100</v>
      </c>
      <c r="W36" s="19" t="s">
        <v>277</v>
      </c>
      <c r="X36" s="33">
        <v>46079</v>
      </c>
      <c r="Y36" s="17"/>
    </row>
    <row r="37" spans="1:25" ht="15.6" x14ac:dyDescent="0.3">
      <c r="A37" s="19" t="str">
        <f>IF(OR(E37="",F37="",G37=""),"",E37&amp;"-"&amp;F37&amp;"-"&amp;G37&amp;"-"&amp;TEXT(COUNTIFS($E$2:E37,E37,$F$2:F37,F37,$G$2:G37,G37),"000"))</f>
        <v>COC-BAT-ALUT-001</v>
      </c>
      <c r="B37" s="19" t="s">
        <v>18</v>
      </c>
      <c r="C37" s="19" t="s">
        <v>314</v>
      </c>
      <c r="D37" s="19" t="s">
        <v>453</v>
      </c>
      <c r="E37" s="19" t="str">
        <f>_xlfn.XLOOKUP(B37,Configuración!A:A,Configuración!B:B,"")</f>
        <v>COC</v>
      </c>
      <c r="F37" s="19" t="str" cm="1">
        <f t="array" ref="F37">IF($C37="","",_xlfn.XLOOKUP(1,(Configuración!D:D=$B37)*(Configuración!E:E=$C37),Configuración!F:F,""))</f>
        <v>BAT</v>
      </c>
      <c r="G37" s="19" t="str">
        <f>IF($D37="","",_xlfn.XLOOKUP($D37,Configuración!H:H,Configuración!I:I,""))</f>
        <v>ALUT</v>
      </c>
      <c r="H37" s="19" t="s">
        <v>87</v>
      </c>
      <c r="I37" s="19" t="s">
        <v>469</v>
      </c>
      <c r="J37" s="19" t="s">
        <v>72</v>
      </c>
      <c r="K37" s="19" t="s">
        <v>498</v>
      </c>
      <c r="L37" s="20">
        <v>2800</v>
      </c>
      <c r="M37" s="20">
        <f t="shared" si="2"/>
        <v>700</v>
      </c>
      <c r="N37" s="20">
        <f t="shared" si="3"/>
        <v>2800</v>
      </c>
      <c r="O37" s="20">
        <v>4000</v>
      </c>
      <c r="P37" s="19" t="str">
        <f>IF($O37&lt;Configuración!$B$7,"NO","SI")</f>
        <v>SI</v>
      </c>
      <c r="Q37" s="20">
        <f>IF($P37="NO","NO APLICA",MAX(CEILING(($O37*(1-Configuración!$B$2))/Configuración!$B$3,Configuración!$B$6),Configuración!$B$5))</f>
        <v>400</v>
      </c>
      <c r="R37" s="20">
        <f>IF($Q37="NO APLICA","NO APLICA",$Q37*Configuración!$B$3)</f>
        <v>3200</v>
      </c>
      <c r="S37" s="19" t="str">
        <f>IF($O37&lt;Configuración!$B$8,"NO","SI")</f>
        <v>SI</v>
      </c>
      <c r="T37" s="20">
        <f>IF($S37="NO","NO APLICA",MAX(CEILING(($O37*(1-Configuración!$B$2))/Configuración!$B$4,Configuración!$B$6),Configuración!$B$5))</f>
        <v>270</v>
      </c>
      <c r="U37" s="20">
        <f>IF($T37="NO APLICA","NO APLICA",$T37*Configuración!$B$4)</f>
        <v>3240</v>
      </c>
      <c r="V37" s="20">
        <f>MAX(CEILING($O37/Configuración!$B$9,Configuración!$B$6),Configuración!$B$5)</f>
        <v>100</v>
      </c>
      <c r="W37" s="19" t="s">
        <v>277</v>
      </c>
      <c r="X37" s="33">
        <v>46079</v>
      </c>
      <c r="Y37" s="17"/>
    </row>
    <row r="38" spans="1:25" ht="15.6" x14ac:dyDescent="0.3">
      <c r="A38" s="19" t="str">
        <f>IF(OR(E38="",F38="",G38=""),"",E38&amp;"-"&amp;F38&amp;"-"&amp;G38&amp;"-"&amp;TEXT(COUNTIFS($E$2:E38,E38,$F$2:F38,F38,$G$2:G38,G38),"000"))</f>
        <v>COC-BAT-ALUT-002</v>
      </c>
      <c r="B38" s="19" t="s">
        <v>18</v>
      </c>
      <c r="C38" s="19" t="s">
        <v>314</v>
      </c>
      <c r="D38" s="19" t="s">
        <v>453</v>
      </c>
      <c r="E38" s="19" t="str">
        <f>_xlfn.XLOOKUP(B38,Configuración!A:A,Configuración!B:B,"")</f>
        <v>COC</v>
      </c>
      <c r="F38" s="19" t="str" cm="1">
        <f t="array" ref="F38">IF($C38="","",_xlfn.XLOOKUP(1,(Configuración!D:D=$B38)*(Configuración!E:E=$C38),Configuración!F:F,""))</f>
        <v>BAT</v>
      </c>
      <c r="G38" s="19" t="str">
        <f>IF($D38="","",_xlfn.XLOOKUP($D38,Configuración!H:H,Configuración!I:I,""))</f>
        <v>ALUT</v>
      </c>
      <c r="H38" s="19" t="s">
        <v>88</v>
      </c>
      <c r="I38" s="19" t="s">
        <v>470</v>
      </c>
      <c r="J38" s="19" t="s">
        <v>471</v>
      </c>
      <c r="K38" s="19" t="s">
        <v>498</v>
      </c>
      <c r="L38" s="20">
        <v>2940</v>
      </c>
      <c r="M38" s="20">
        <f t="shared" si="2"/>
        <v>740</v>
      </c>
      <c r="N38" s="20">
        <f t="shared" si="3"/>
        <v>2960</v>
      </c>
      <c r="O38" s="20">
        <v>4200</v>
      </c>
      <c r="P38" s="19" t="str">
        <f>IF($O38&lt;Configuración!$B$7,"NO","SI")</f>
        <v>SI</v>
      </c>
      <c r="Q38" s="20">
        <f>IF($P38="NO","NO APLICA",MAX(CEILING(($O38*(1-Configuración!$B$2))/Configuración!$B$3,Configuración!$B$6),Configuración!$B$5))</f>
        <v>420</v>
      </c>
      <c r="R38" s="20">
        <f>IF($Q38="NO APLICA","NO APLICA",$Q38*Configuración!$B$3)</f>
        <v>3360</v>
      </c>
      <c r="S38" s="19" t="str">
        <f>IF($O38&lt;Configuración!$B$8,"NO","SI")</f>
        <v>SI</v>
      </c>
      <c r="T38" s="20">
        <f>IF($S38="NO","NO APLICA",MAX(CEILING(($O38*(1-Configuración!$B$2))/Configuración!$B$4,Configuración!$B$6),Configuración!$B$5))</f>
        <v>280</v>
      </c>
      <c r="U38" s="20">
        <f>IF($T38="NO APLICA","NO APLICA",$T38*Configuración!$B$4)</f>
        <v>3360</v>
      </c>
      <c r="V38" s="20">
        <f>MAX(CEILING($O38/Configuración!$B$9,Configuración!$B$6),Configuración!$B$5)</f>
        <v>100</v>
      </c>
      <c r="W38" s="19" t="s">
        <v>277</v>
      </c>
      <c r="X38" s="33">
        <v>46079</v>
      </c>
      <c r="Y38" s="17"/>
    </row>
    <row r="39" spans="1:25" ht="15.6" x14ac:dyDescent="0.3">
      <c r="A39" s="19" t="str">
        <f>IF(OR(E39="",F39="",G39=""),"",E39&amp;"-"&amp;F39&amp;"-"&amp;G39&amp;"-"&amp;TEXT(COUNTIFS($E$2:E39,E39,$F$2:F39,F39,$G$2:G39,G39),"000"))</f>
        <v>COC-BAT-ALUT-003</v>
      </c>
      <c r="B39" s="19" t="s">
        <v>18</v>
      </c>
      <c r="C39" s="19" t="s">
        <v>314</v>
      </c>
      <c r="D39" s="19" t="s">
        <v>453</v>
      </c>
      <c r="E39" s="19" t="str">
        <f>_xlfn.XLOOKUP(B39,Configuración!A:A,Configuración!B:B,"")</f>
        <v>COC</v>
      </c>
      <c r="F39" s="19" t="str" cm="1">
        <f t="array" ref="F39">IF($C39="","",_xlfn.XLOOKUP(1,(Configuración!D:D=$B39)*(Configuración!E:E=$C39),Configuración!F:F,""))</f>
        <v>BAT</v>
      </c>
      <c r="G39" s="19" t="str">
        <f>IF($D39="","",_xlfn.XLOOKUP($D39,Configuración!H:H,Configuración!I:I,""))</f>
        <v>ALUT</v>
      </c>
      <c r="H39" s="19" t="s">
        <v>86</v>
      </c>
      <c r="I39" s="19" t="s">
        <v>468</v>
      </c>
      <c r="J39" s="19" t="s">
        <v>72</v>
      </c>
      <c r="K39" s="19" t="s">
        <v>498</v>
      </c>
      <c r="L39" s="20">
        <v>4000</v>
      </c>
      <c r="M39" s="20">
        <f t="shared" si="2"/>
        <v>1000</v>
      </c>
      <c r="N39" s="20">
        <f t="shared" si="3"/>
        <v>4000</v>
      </c>
      <c r="O39" s="20">
        <v>5700</v>
      </c>
      <c r="P39" s="19" t="str">
        <f>IF($O39&lt;Configuración!$B$7,"NO","SI")</f>
        <v>SI</v>
      </c>
      <c r="Q39" s="20">
        <f>IF($P39="NO","NO APLICA",MAX(CEILING(($O39*(1-Configuración!$B$2))/Configuración!$B$3,Configuración!$B$6),Configuración!$B$5))</f>
        <v>570</v>
      </c>
      <c r="R39" s="20">
        <f>IF($Q39="NO APLICA","NO APLICA",$Q39*Configuración!$B$3)</f>
        <v>4560</v>
      </c>
      <c r="S39" s="19" t="str">
        <f>IF($O39&lt;Configuración!$B$8,"NO","SI")</f>
        <v>SI</v>
      </c>
      <c r="T39" s="20">
        <f>IF($S39="NO","NO APLICA",MAX(CEILING(($O39*(1-Configuración!$B$2))/Configuración!$B$4,Configuración!$B$6),Configuración!$B$5))</f>
        <v>380</v>
      </c>
      <c r="U39" s="20">
        <f>IF($T39="NO APLICA","NO APLICA",$T39*Configuración!$B$4)</f>
        <v>4560</v>
      </c>
      <c r="V39" s="20">
        <f>MAX(CEILING($O39/Configuración!$B$9,Configuración!$B$6),Configuración!$B$5)</f>
        <v>110</v>
      </c>
      <c r="W39" s="19" t="s">
        <v>277</v>
      </c>
      <c r="X39" s="33">
        <v>46079</v>
      </c>
      <c r="Y39" s="17"/>
    </row>
    <row r="40" spans="1:25" ht="15.6" x14ac:dyDescent="0.3">
      <c r="A40" s="19" t="str">
        <f>IF(OR(E40="",F40="",G40=""),"",E40&amp;"-"&amp;F40&amp;"-"&amp;G40&amp;"-"&amp;TEXT(COUNTIFS($E$2:E40,E40,$F$2:F40,F40,$G$2:G40,G40),"000"))</f>
        <v>COC-BAT-ALU-003</v>
      </c>
      <c r="B40" s="19" t="s">
        <v>18</v>
      </c>
      <c r="C40" s="19" t="s">
        <v>314</v>
      </c>
      <c r="D40" s="19" t="s">
        <v>358</v>
      </c>
      <c r="E40" s="19" t="str">
        <f>_xlfn.XLOOKUP(B40,Configuración!A:A,Configuración!B:B,"")</f>
        <v>COC</v>
      </c>
      <c r="F40" s="19" t="str" cm="1">
        <f t="array" ref="F40">IF($C40="","",_xlfn.XLOOKUP(1,(Configuración!D:D=$B40)*(Configuración!E:E=$C40),Configuración!F:F,""))</f>
        <v>BAT</v>
      </c>
      <c r="G40" s="19" t="str">
        <f>IF($D40="","",_xlfn.XLOOKUP($D40,Configuración!H:H,Configuración!I:I,""))</f>
        <v>ALU</v>
      </c>
      <c r="H40" s="19" t="s">
        <v>61</v>
      </c>
      <c r="I40" s="19" t="s">
        <v>448</v>
      </c>
      <c r="J40" s="19" t="s">
        <v>62</v>
      </c>
      <c r="K40" s="19" t="s">
        <v>498</v>
      </c>
      <c r="L40" s="20">
        <v>1820</v>
      </c>
      <c r="M40" s="20">
        <f t="shared" si="2"/>
        <v>460</v>
      </c>
      <c r="N40" s="20">
        <f t="shared" si="3"/>
        <v>1840</v>
      </c>
      <c r="O40" s="20">
        <v>2600</v>
      </c>
      <c r="P40" s="19" t="str">
        <f>IF($O40&lt;Configuración!$B$7,"NO","SI")</f>
        <v>SI</v>
      </c>
      <c r="Q40" s="20">
        <f>IF($P40="NO","NO APLICA",MAX(CEILING(($O40*(1-Configuración!$B$2))/Configuración!$B$3,Configuración!$B$6),Configuración!$B$5))</f>
        <v>260</v>
      </c>
      <c r="R40" s="20">
        <f>IF($Q40="NO APLICA","NO APLICA",$Q40*Configuración!$B$3)</f>
        <v>2080</v>
      </c>
      <c r="S40" s="19" t="str">
        <f>IF($O40&lt;Configuración!$B$8,"NO","SI")</f>
        <v>NO</v>
      </c>
      <c r="T40" s="20" t="str">
        <f>IF($S40="NO","NO APLICA",MAX(CEILING(($O40*(1-Configuración!$B$2))/Configuración!$B$4,Configuración!$B$6),Configuración!$B$5))</f>
        <v>NO APLICA</v>
      </c>
      <c r="U40" s="20" t="str">
        <f>IF($T40="NO APLICA","NO APLICA",$T40*Configuración!$B$4)</f>
        <v>NO APLICA</v>
      </c>
      <c r="V40" s="20">
        <f>MAX(CEILING($O40/Configuración!$B$9,Configuración!$B$6),Configuración!$B$5)</f>
        <v>100</v>
      </c>
      <c r="W40" s="19" t="s">
        <v>277</v>
      </c>
      <c r="X40" s="33">
        <v>46079</v>
      </c>
      <c r="Y40" s="17"/>
    </row>
    <row r="41" spans="1:25" ht="15.6" x14ac:dyDescent="0.3">
      <c r="A41" s="19" t="str">
        <f>IF(OR(E41="",F41="",G41=""),"",E41&amp;"-"&amp;F41&amp;"-"&amp;G41&amp;"-"&amp;TEXT(COUNTIFS($E$2:E41,E41,$F$2:F41,F41,$G$2:G41,G41),"000"))</f>
        <v>COC-BAT-ACI-001</v>
      </c>
      <c r="B41" s="19" t="s">
        <v>18</v>
      </c>
      <c r="C41" s="19" t="s">
        <v>314</v>
      </c>
      <c r="D41" s="19" t="s">
        <v>94</v>
      </c>
      <c r="E41" s="19" t="str">
        <f>_xlfn.XLOOKUP(B41,Configuración!A:A,Configuración!B:B,"")</f>
        <v>COC</v>
      </c>
      <c r="F41" s="19" t="str" cm="1">
        <f t="array" ref="F41">IF($C41="","",_xlfn.XLOOKUP(1,(Configuración!D:D=$B41)*(Configuración!E:E=$C41),Configuración!F:F,""))</f>
        <v>BAT</v>
      </c>
      <c r="G41" s="19" t="str">
        <f>IF($D41="","",_xlfn.XLOOKUP($D41,Configuración!H:H,Configuración!I:I,""))</f>
        <v>ACI</v>
      </c>
      <c r="H41" s="19" t="s">
        <v>97</v>
      </c>
      <c r="I41" s="19" t="s">
        <v>476</v>
      </c>
      <c r="J41" s="19" t="s">
        <v>94</v>
      </c>
      <c r="K41" s="19" t="s">
        <v>498</v>
      </c>
      <c r="L41" s="20">
        <v>3500</v>
      </c>
      <c r="M41" s="20">
        <f t="shared" si="2"/>
        <v>880</v>
      </c>
      <c r="N41" s="20">
        <f t="shared" si="3"/>
        <v>3520</v>
      </c>
      <c r="O41" s="20">
        <v>5000</v>
      </c>
      <c r="P41" s="19" t="str">
        <f>IF($O41&lt;Configuración!$B$7,"NO","SI")</f>
        <v>SI</v>
      </c>
      <c r="Q41" s="20">
        <f>IF($P41="NO","NO APLICA",MAX(CEILING(($O41*(1-Configuración!$B$2))/Configuración!$B$3,Configuración!$B$6),Configuración!$B$5))</f>
        <v>500</v>
      </c>
      <c r="R41" s="20">
        <f>IF($Q41="NO APLICA","NO APLICA",$Q41*Configuración!$B$3)</f>
        <v>4000</v>
      </c>
      <c r="S41" s="19" t="str">
        <f>IF($O41&lt;Configuración!$B$8,"NO","SI")</f>
        <v>SI</v>
      </c>
      <c r="T41" s="20">
        <f>IF($S41="NO","NO APLICA",MAX(CEILING(($O41*(1-Configuración!$B$2))/Configuración!$B$4,Configuración!$B$6),Configuración!$B$5))</f>
        <v>340</v>
      </c>
      <c r="U41" s="20">
        <f>IF($T41="NO APLICA","NO APLICA",$T41*Configuración!$B$4)</f>
        <v>4080</v>
      </c>
      <c r="V41" s="20">
        <f>MAX(CEILING($O41/Configuración!$B$9,Configuración!$B$6),Configuración!$B$5)</f>
        <v>100</v>
      </c>
      <c r="W41" s="19" t="s">
        <v>277</v>
      </c>
      <c r="X41" s="33">
        <v>46079</v>
      </c>
      <c r="Y41" s="17"/>
    </row>
    <row r="42" spans="1:25" ht="15.6" x14ac:dyDescent="0.3">
      <c r="A42" s="19" t="str">
        <f>IF(OR(E42="",F42="",G42=""),"",E42&amp;"-"&amp;F42&amp;"-"&amp;G42&amp;"-"&amp;TEXT(COUNTIFS($E$2:E42,E42,$F$2:F42,F42,$G$2:G42,G42),"000"))</f>
        <v>COC-BAT-ACI-002</v>
      </c>
      <c r="B42" s="19" t="s">
        <v>18</v>
      </c>
      <c r="C42" s="19" t="s">
        <v>314</v>
      </c>
      <c r="D42" s="19" t="s">
        <v>94</v>
      </c>
      <c r="E42" s="19" t="str">
        <f>_xlfn.XLOOKUP(B42,Configuración!A:A,Configuración!B:B,"")</f>
        <v>COC</v>
      </c>
      <c r="F42" s="19" t="str" cm="1">
        <f t="array" ref="F42">IF($C42="","",_xlfn.XLOOKUP(1,(Configuración!D:D=$B42)*(Configuración!E:E=$C42),Configuración!F:F,""))</f>
        <v>BAT</v>
      </c>
      <c r="G42" s="19" t="str">
        <f>IF($D42="","",_xlfn.XLOOKUP($D42,Configuración!H:H,Configuración!I:I,""))</f>
        <v>ACI</v>
      </c>
      <c r="H42" s="19" t="s">
        <v>95</v>
      </c>
      <c r="I42" s="19" t="s">
        <v>475</v>
      </c>
      <c r="J42" s="19" t="s">
        <v>96</v>
      </c>
      <c r="K42" s="19" t="s">
        <v>498</v>
      </c>
      <c r="L42" s="20">
        <v>3500</v>
      </c>
      <c r="M42" s="20">
        <f t="shared" si="2"/>
        <v>880</v>
      </c>
      <c r="N42" s="20">
        <f t="shared" si="3"/>
        <v>3520</v>
      </c>
      <c r="O42" s="20">
        <v>5000</v>
      </c>
      <c r="P42" s="19" t="str">
        <f>IF($O42&lt;Configuración!$B$7,"NO","SI")</f>
        <v>SI</v>
      </c>
      <c r="Q42" s="20">
        <f>IF($P42="NO","NO APLICA",MAX(CEILING(($O42*(1-Configuración!$B$2))/Configuración!$B$3,Configuración!$B$6),Configuración!$B$5))</f>
        <v>500</v>
      </c>
      <c r="R42" s="20">
        <f>IF($Q42="NO APLICA","NO APLICA",$Q42*Configuración!$B$3)</f>
        <v>4000</v>
      </c>
      <c r="S42" s="19" t="str">
        <f>IF($O42&lt;Configuración!$B$8,"NO","SI")</f>
        <v>SI</v>
      </c>
      <c r="T42" s="20">
        <f>IF($S42="NO","NO APLICA",MAX(CEILING(($O42*(1-Configuración!$B$2))/Configuración!$B$4,Configuración!$B$6),Configuración!$B$5))</f>
        <v>340</v>
      </c>
      <c r="U42" s="20">
        <f>IF($T42="NO APLICA","NO APLICA",$T42*Configuración!$B$4)</f>
        <v>4080</v>
      </c>
      <c r="V42" s="20">
        <f>MAX(CEILING($O42/Configuración!$B$9,Configuración!$B$6),Configuración!$B$5)</f>
        <v>100</v>
      </c>
      <c r="W42" s="19" t="s">
        <v>277</v>
      </c>
      <c r="X42" s="33">
        <v>46079</v>
      </c>
      <c r="Y42" s="17"/>
    </row>
    <row r="43" spans="1:25" ht="15.6" x14ac:dyDescent="0.3">
      <c r="A43" s="19" t="str">
        <f>IF(OR(E43="",F43="",G43=""),"",E43&amp;"-"&amp;F43&amp;"-"&amp;G43&amp;"-"&amp;TEXT(COUNTIFS($E$2:E43,E43,$F$2:F43,F43,$G$2:G43,G43),"000"))</f>
        <v>COC-BAT-ACI-003</v>
      </c>
      <c r="B43" s="19" t="s">
        <v>18</v>
      </c>
      <c r="C43" s="19" t="s">
        <v>314</v>
      </c>
      <c r="D43" s="19" t="s">
        <v>94</v>
      </c>
      <c r="E43" s="19" t="str">
        <f>_xlfn.XLOOKUP(B43,Configuración!A:A,Configuración!B:B,"")</f>
        <v>COC</v>
      </c>
      <c r="F43" s="19" t="str" cm="1">
        <f t="array" ref="F43">IF($C43="","",_xlfn.XLOOKUP(1,(Configuración!D:D=$B43)*(Configuración!E:E=$C43),Configuración!F:F,""))</f>
        <v>BAT</v>
      </c>
      <c r="G43" s="19" t="str">
        <f>IF($D43="","",_xlfn.XLOOKUP($D43,Configuración!H:H,Configuración!I:I,""))</f>
        <v>ACI</v>
      </c>
      <c r="H43" s="19" t="s">
        <v>105</v>
      </c>
      <c r="I43" s="19" t="s">
        <v>481</v>
      </c>
      <c r="J43" s="19" t="s">
        <v>96</v>
      </c>
      <c r="K43" s="19" t="s">
        <v>498</v>
      </c>
      <c r="L43" s="20">
        <v>4630</v>
      </c>
      <c r="M43" s="20">
        <f t="shared" si="2"/>
        <v>1160</v>
      </c>
      <c r="N43" s="20">
        <f t="shared" si="3"/>
        <v>4640</v>
      </c>
      <c r="O43" s="20">
        <v>6620</v>
      </c>
      <c r="P43" s="19" t="str">
        <f>IF($O43&lt;Configuración!$B$7,"NO","SI")</f>
        <v>SI</v>
      </c>
      <c r="Q43" s="20">
        <f>IF($P43="NO","NO APLICA",MAX(CEILING(($O43*(1-Configuración!$B$2))/Configuración!$B$3,Configuración!$B$6),Configuración!$B$5))</f>
        <v>670</v>
      </c>
      <c r="R43" s="20">
        <f>IF($Q43="NO APLICA","NO APLICA",$Q43*Configuración!$B$3)</f>
        <v>5360</v>
      </c>
      <c r="S43" s="19" t="str">
        <f>IF($O43&lt;Configuración!$B$8,"NO","SI")</f>
        <v>SI</v>
      </c>
      <c r="T43" s="20">
        <f>IF($S43="NO","NO APLICA",MAX(CEILING(($O43*(1-Configuración!$B$2))/Configuración!$B$4,Configuración!$B$6),Configuración!$B$5))</f>
        <v>450</v>
      </c>
      <c r="U43" s="20">
        <f>IF($T43="NO APLICA","NO APLICA",$T43*Configuración!$B$4)</f>
        <v>5400</v>
      </c>
      <c r="V43" s="20">
        <f>MAX(CEILING($O43/Configuración!$B$9,Configuración!$B$6),Configuración!$B$5)</f>
        <v>130</v>
      </c>
      <c r="W43" s="19" t="s">
        <v>277</v>
      </c>
      <c r="X43" s="33">
        <v>46079</v>
      </c>
      <c r="Y43" s="17"/>
    </row>
    <row r="44" spans="1:25" ht="15.6" x14ac:dyDescent="0.3">
      <c r="A44" s="19" t="str">
        <f>IF(OR(E44="",F44="",G44=""),"",E44&amp;"-"&amp;F44&amp;"-"&amp;G44&amp;"-"&amp;TEXT(COUNTIFS($E$2:E44,E44,$F$2:F44,F44,$G$2:G44,G44),"000"))</f>
        <v>COC-BAT-TF-001</v>
      </c>
      <c r="B44" s="19" t="s">
        <v>18</v>
      </c>
      <c r="C44" s="19" t="s">
        <v>314</v>
      </c>
      <c r="D44" s="19" t="s">
        <v>365</v>
      </c>
      <c r="E44" s="19" t="str">
        <f>_xlfn.XLOOKUP(B44,Configuración!A:A,Configuración!B:B,"")</f>
        <v>COC</v>
      </c>
      <c r="F44" s="19" t="str" cm="1">
        <f t="array" ref="F44">IF($C44="","",_xlfn.XLOOKUP(1,(Configuración!D:D=$B44)*(Configuración!E:E=$C44),Configuración!F:F,""))</f>
        <v>BAT</v>
      </c>
      <c r="G44" s="19" t="str">
        <f>IF($D44="","",_xlfn.XLOOKUP($D44,Configuración!H:H,Configuración!I:I,""))</f>
        <v>TF</v>
      </c>
      <c r="H44" s="19" t="s">
        <v>64</v>
      </c>
      <c r="I44" s="19" t="s">
        <v>450</v>
      </c>
      <c r="J44" s="19" t="s">
        <v>65</v>
      </c>
      <c r="K44" s="19" t="s">
        <v>498</v>
      </c>
      <c r="L44" s="20">
        <v>3500</v>
      </c>
      <c r="M44" s="20">
        <f t="shared" si="2"/>
        <v>880</v>
      </c>
      <c r="N44" s="20">
        <f t="shared" si="3"/>
        <v>3520</v>
      </c>
      <c r="O44" s="20">
        <v>5000</v>
      </c>
      <c r="P44" s="19" t="str">
        <f>IF($O44&lt;Configuración!$B$7,"NO","SI")</f>
        <v>SI</v>
      </c>
      <c r="Q44" s="20">
        <f>IF($P44="NO","NO APLICA",MAX(CEILING(($O44*(1-Configuración!$B$2))/Configuración!$B$3,Configuración!$B$6),Configuración!$B$5))</f>
        <v>500</v>
      </c>
      <c r="R44" s="20">
        <f>IF($Q44="NO APLICA","NO APLICA",$Q44*Configuración!$B$3)</f>
        <v>4000</v>
      </c>
      <c r="S44" s="19" t="str">
        <f>IF($O44&lt;Configuración!$B$8,"NO","SI")</f>
        <v>SI</v>
      </c>
      <c r="T44" s="20">
        <f>IF($S44="NO","NO APLICA",MAX(CEILING(($O44*(1-Configuración!$B$2))/Configuración!$B$4,Configuración!$B$6),Configuración!$B$5))</f>
        <v>340</v>
      </c>
      <c r="U44" s="20">
        <f>IF($T44="NO APLICA","NO APLICA",$T44*Configuración!$B$4)</f>
        <v>4080</v>
      </c>
      <c r="V44" s="20">
        <f>MAX(CEILING($O44/Configuración!$B$9,Configuración!$B$6),Configuración!$B$5)</f>
        <v>100</v>
      </c>
      <c r="W44" s="19" t="s">
        <v>277</v>
      </c>
      <c r="X44" s="33">
        <v>46079</v>
      </c>
      <c r="Y44" s="17"/>
    </row>
    <row r="45" spans="1:25" ht="15.6" x14ac:dyDescent="0.3">
      <c r="A45" s="19" t="str">
        <f>IF(OR(E45="",F45="",G45=""),"",E45&amp;"-"&amp;F45&amp;"-"&amp;G45&amp;"-"&amp;TEXT(COUNTIFS($E$2:E45,E45,$F$2:F45,F45,$G$2:G45,G45),"000"))</f>
        <v>COC-BAT-ACI-004</v>
      </c>
      <c r="B45" s="19" t="s">
        <v>18</v>
      </c>
      <c r="C45" s="19" t="s">
        <v>314</v>
      </c>
      <c r="D45" s="19" t="s">
        <v>94</v>
      </c>
      <c r="E45" s="19" t="str">
        <f>_xlfn.XLOOKUP(B45,Configuración!A:A,Configuración!B:B,"")</f>
        <v>COC</v>
      </c>
      <c r="F45" s="19" t="str" cm="1">
        <f t="array" ref="F45">IF($C45="","",_xlfn.XLOOKUP(1,(Configuración!D:D=$B45)*(Configuración!E:E=$C45),Configuración!F:F,""))</f>
        <v>BAT</v>
      </c>
      <c r="G45" s="19" t="str">
        <f>IF($D45="","",_xlfn.XLOOKUP($D45,Configuración!H:H,Configuración!I:I,""))</f>
        <v>ACI</v>
      </c>
      <c r="H45" s="19" t="s">
        <v>102</v>
      </c>
      <c r="I45" s="19" t="s">
        <v>478</v>
      </c>
      <c r="J45" s="19" t="s">
        <v>96</v>
      </c>
      <c r="K45" s="19" t="s">
        <v>498</v>
      </c>
      <c r="L45" s="20">
        <v>2800</v>
      </c>
      <c r="M45" s="20">
        <f t="shared" si="2"/>
        <v>700</v>
      </c>
      <c r="N45" s="20">
        <f t="shared" si="3"/>
        <v>2800</v>
      </c>
      <c r="O45" s="20">
        <v>4000</v>
      </c>
      <c r="P45" s="19" t="str">
        <f>IF($O45&lt;Configuración!$B$7,"NO","SI")</f>
        <v>SI</v>
      </c>
      <c r="Q45" s="20">
        <f>IF($P45="NO","NO APLICA",MAX(CEILING(($O45*(1-Configuración!$B$2))/Configuración!$B$3,Configuración!$B$6),Configuración!$B$5))</f>
        <v>400</v>
      </c>
      <c r="R45" s="20">
        <f>IF($Q45="NO APLICA","NO APLICA",$Q45*Configuración!$B$3)</f>
        <v>3200</v>
      </c>
      <c r="S45" s="19" t="str">
        <f>IF($O45&lt;Configuración!$B$8,"NO","SI")</f>
        <v>SI</v>
      </c>
      <c r="T45" s="20">
        <f>IF($S45="NO","NO APLICA",MAX(CEILING(($O45*(1-Configuración!$B$2))/Configuración!$B$4,Configuración!$B$6),Configuración!$B$5))</f>
        <v>270</v>
      </c>
      <c r="U45" s="20">
        <f>IF($T45="NO APLICA","NO APLICA",$T45*Configuración!$B$4)</f>
        <v>3240</v>
      </c>
      <c r="V45" s="20">
        <f>MAX(CEILING($O45/Configuración!$B$9,Configuración!$B$6),Configuración!$B$5)</f>
        <v>100</v>
      </c>
      <c r="W45" s="19" t="s">
        <v>277</v>
      </c>
      <c r="X45" s="33">
        <v>46079</v>
      </c>
      <c r="Y45" s="17"/>
    </row>
    <row r="46" spans="1:25" ht="15.6" x14ac:dyDescent="0.3">
      <c r="A46" s="19" t="str">
        <f>IF(OR(E46="",F46="",G46=""),"",E46&amp;"-"&amp;F46&amp;"-"&amp;G46&amp;"-"&amp;TEXT(COUNTIFS($E$2:E46,E46,$F$2:F46,F46,$G$2:G46,G46),"000"))</f>
        <v>COC-BAT-ACI-005</v>
      </c>
      <c r="B46" s="19" t="s">
        <v>18</v>
      </c>
      <c r="C46" s="19" t="s">
        <v>314</v>
      </c>
      <c r="D46" s="19" t="s">
        <v>94</v>
      </c>
      <c r="E46" s="19" t="str">
        <f>_xlfn.XLOOKUP(B46,Configuración!A:A,Configuración!B:B,"")</f>
        <v>COC</v>
      </c>
      <c r="F46" s="19" t="str" cm="1">
        <f t="array" ref="F46">IF($C46="","",_xlfn.XLOOKUP(1,(Configuración!D:D=$B46)*(Configuración!E:E=$C46),Configuración!F:F,""))</f>
        <v>BAT</v>
      </c>
      <c r="G46" s="19" t="str">
        <f>IF($D46="","",_xlfn.XLOOKUP($D46,Configuración!H:H,Configuración!I:I,""))</f>
        <v>ACI</v>
      </c>
      <c r="H46" s="19" t="s">
        <v>93</v>
      </c>
      <c r="I46" s="19" t="s">
        <v>474</v>
      </c>
      <c r="J46" s="19" t="s">
        <v>94</v>
      </c>
      <c r="K46" s="19" t="s">
        <v>498</v>
      </c>
      <c r="L46" s="20">
        <v>3500</v>
      </c>
      <c r="M46" s="20">
        <f t="shared" si="2"/>
        <v>880</v>
      </c>
      <c r="N46" s="20">
        <f t="shared" si="3"/>
        <v>3520</v>
      </c>
      <c r="O46" s="20">
        <v>5000</v>
      </c>
      <c r="P46" s="19" t="str">
        <f>IF($O46&lt;Configuración!$B$7,"NO","SI")</f>
        <v>SI</v>
      </c>
      <c r="Q46" s="20">
        <f>IF($P46="NO","NO APLICA",MAX(CEILING(($O46*(1-Configuración!$B$2))/Configuración!$B$3,Configuración!$B$6),Configuración!$B$5))</f>
        <v>500</v>
      </c>
      <c r="R46" s="20">
        <f>IF($Q46="NO APLICA","NO APLICA",$Q46*Configuración!$B$3)</f>
        <v>4000</v>
      </c>
      <c r="S46" s="19" t="str">
        <f>IF($O46&lt;Configuración!$B$8,"NO","SI")</f>
        <v>SI</v>
      </c>
      <c r="T46" s="20">
        <f>IF($S46="NO","NO APLICA",MAX(CEILING(($O46*(1-Configuración!$B$2))/Configuración!$B$4,Configuración!$B$6),Configuración!$B$5))</f>
        <v>340</v>
      </c>
      <c r="U46" s="20">
        <f>IF($T46="NO APLICA","NO APLICA",$T46*Configuración!$B$4)</f>
        <v>4080</v>
      </c>
      <c r="V46" s="20">
        <f>MAX(CEILING($O46/Configuración!$B$9,Configuración!$B$6),Configuración!$B$5)</f>
        <v>100</v>
      </c>
      <c r="W46" s="19" t="s">
        <v>277</v>
      </c>
      <c r="X46" s="33">
        <v>46079</v>
      </c>
      <c r="Y46" s="17"/>
    </row>
    <row r="47" spans="1:25" ht="15.6" x14ac:dyDescent="0.3">
      <c r="A47" s="19" t="str">
        <f>IF(OR(E47="",F47="",G47=""),"",E47&amp;"-"&amp;F47&amp;"-"&amp;G47&amp;"-"&amp;TEXT(COUNTIFS($E$2:E47,E47,$F$2:F47,F47,$G$2:G47,G47),"000"))</f>
        <v>COC-BAT-TF-002</v>
      </c>
      <c r="B47" s="19" t="s">
        <v>18</v>
      </c>
      <c r="C47" s="19" t="s">
        <v>314</v>
      </c>
      <c r="D47" s="19" t="s">
        <v>365</v>
      </c>
      <c r="E47" s="19" t="str">
        <f>_xlfn.XLOOKUP(B47,Configuración!A:A,Configuración!B:B,"")</f>
        <v>COC</v>
      </c>
      <c r="F47" s="19" t="str" cm="1">
        <f t="array" ref="F47">IF($C47="","",_xlfn.XLOOKUP(1,(Configuración!D:D=$B47)*(Configuración!E:E=$C47),Configuración!F:F,""))</f>
        <v>BAT</v>
      </c>
      <c r="G47" s="19" t="str">
        <f>IF($D47="","",_xlfn.XLOOKUP($D47,Configuración!H:H,Configuración!I:I,""))</f>
        <v>TF</v>
      </c>
      <c r="H47" s="19" t="s">
        <v>66</v>
      </c>
      <c r="I47" s="19" t="s">
        <v>451</v>
      </c>
      <c r="J47" s="19" t="s">
        <v>65</v>
      </c>
      <c r="K47" s="19" t="s">
        <v>498</v>
      </c>
      <c r="L47" s="20">
        <v>3920</v>
      </c>
      <c r="M47" s="20">
        <f t="shared" si="2"/>
        <v>980</v>
      </c>
      <c r="N47" s="20">
        <f t="shared" si="3"/>
        <v>3920</v>
      </c>
      <c r="O47" s="20">
        <v>5600</v>
      </c>
      <c r="P47" s="19" t="str">
        <f>IF($O47&lt;Configuración!$B$7,"NO","SI")</f>
        <v>SI</v>
      </c>
      <c r="Q47" s="20">
        <f>IF($P47="NO","NO APLICA",MAX(CEILING(($O47*(1-Configuración!$B$2))/Configuración!$B$3,Configuración!$B$6),Configuración!$B$5))</f>
        <v>560</v>
      </c>
      <c r="R47" s="20">
        <f>IF($Q47="NO APLICA","NO APLICA",$Q47*Configuración!$B$3)</f>
        <v>4480</v>
      </c>
      <c r="S47" s="19" t="str">
        <f>IF($O47&lt;Configuración!$B$8,"NO","SI")</f>
        <v>SI</v>
      </c>
      <c r="T47" s="20">
        <f>IF($S47="NO","NO APLICA",MAX(CEILING(($O47*(1-Configuración!$B$2))/Configuración!$B$4,Configuración!$B$6),Configuración!$B$5))</f>
        <v>380</v>
      </c>
      <c r="U47" s="20">
        <f>IF($T47="NO APLICA","NO APLICA",$T47*Configuración!$B$4)</f>
        <v>4560</v>
      </c>
      <c r="V47" s="20">
        <f>MAX(CEILING($O47/Configuración!$B$9,Configuración!$B$6),Configuración!$B$5)</f>
        <v>110</v>
      </c>
      <c r="W47" s="19" t="s">
        <v>277</v>
      </c>
      <c r="X47" s="33">
        <v>46079</v>
      </c>
      <c r="Y47" s="17"/>
    </row>
    <row r="48" spans="1:25" ht="15.6" x14ac:dyDescent="0.3">
      <c r="A48" s="19" t="str">
        <f>IF(OR(E48="",F48="",G48=""),"",E48&amp;"-"&amp;F48&amp;"-"&amp;G48&amp;"-"&amp;TEXT(COUNTIFS($E$2:E48,E48,$F$2:F48,F48,$G$2:G48,G48),"000"))</f>
        <v>COC-BAT-ALU-004</v>
      </c>
      <c r="B48" s="19" t="s">
        <v>18</v>
      </c>
      <c r="C48" s="19" t="s">
        <v>314</v>
      </c>
      <c r="D48" s="19" t="s">
        <v>358</v>
      </c>
      <c r="E48" s="19" t="str">
        <f>_xlfn.XLOOKUP(B48,Configuración!A:A,Configuración!B:B,"")</f>
        <v>COC</v>
      </c>
      <c r="F48" s="19" t="str" cm="1">
        <f t="array" ref="F48">IF($C48="","",_xlfn.XLOOKUP(1,(Configuración!D:D=$B48)*(Configuración!E:E=$C48),Configuración!F:F,""))</f>
        <v>BAT</v>
      </c>
      <c r="G48" s="19" t="str">
        <f>IF($D48="","",_xlfn.XLOOKUP($D48,Configuración!H:H,Configuración!I:I,""))</f>
        <v>ALU</v>
      </c>
      <c r="H48" s="19" t="s">
        <v>63</v>
      </c>
      <c r="I48" s="19" t="s">
        <v>449</v>
      </c>
      <c r="J48" s="19" t="s">
        <v>32</v>
      </c>
      <c r="K48" s="19" t="s">
        <v>498</v>
      </c>
      <c r="L48" s="20">
        <v>2100</v>
      </c>
      <c r="M48" s="20">
        <f t="shared" si="2"/>
        <v>530</v>
      </c>
      <c r="N48" s="20">
        <f t="shared" si="3"/>
        <v>2120</v>
      </c>
      <c r="O48" s="20">
        <v>3000</v>
      </c>
      <c r="P48" s="19" t="str">
        <f>IF($O48&lt;Configuración!$B$7,"NO","SI")</f>
        <v>SI</v>
      </c>
      <c r="Q48" s="20">
        <f>IF($P48="NO","NO APLICA",MAX(CEILING(($O48*(1-Configuración!$B$2))/Configuración!$B$3,Configuración!$B$6),Configuración!$B$5))</f>
        <v>300</v>
      </c>
      <c r="R48" s="20">
        <f>IF($Q48="NO APLICA","NO APLICA",$Q48*Configuración!$B$3)</f>
        <v>2400</v>
      </c>
      <c r="S48" s="19" t="str">
        <f>IF($O48&lt;Configuración!$B$8,"NO","SI")</f>
        <v>SI</v>
      </c>
      <c r="T48" s="20">
        <f>IF($S48="NO","NO APLICA",MAX(CEILING(($O48*(1-Configuración!$B$2))/Configuración!$B$4,Configuración!$B$6),Configuración!$B$5))</f>
        <v>200</v>
      </c>
      <c r="U48" s="20">
        <f>IF($T48="NO APLICA","NO APLICA",$T48*Configuración!$B$4)</f>
        <v>2400</v>
      </c>
      <c r="V48" s="20">
        <f>MAX(CEILING($O48/Configuración!$B$9,Configuración!$B$6),Configuración!$B$5)</f>
        <v>100</v>
      </c>
      <c r="W48" s="19" t="s">
        <v>277</v>
      </c>
      <c r="X48" s="33">
        <v>46079</v>
      </c>
      <c r="Y48" s="17"/>
    </row>
    <row r="49" spans="1:25" ht="15.6" x14ac:dyDescent="0.3">
      <c r="A49" s="19" t="str">
        <f>IF(OR(E49="",F49="",G49=""),"",E49&amp;"-"&amp;F49&amp;"-"&amp;G49&amp;"-"&amp;TEXT(COUNTIFS($E$2:E49,E49,$F$2:F49,F49,$G$2:G49,G49),"000"))</f>
        <v>COC-BAT-TF-003</v>
      </c>
      <c r="B49" s="19" t="s">
        <v>18</v>
      </c>
      <c r="C49" s="19" t="s">
        <v>314</v>
      </c>
      <c r="D49" s="19" t="s">
        <v>365</v>
      </c>
      <c r="E49" s="19" t="str">
        <f>_xlfn.XLOOKUP(B49,Configuración!A:A,Configuración!B:B,"")</f>
        <v>COC</v>
      </c>
      <c r="F49" s="19" t="str" cm="1">
        <f t="array" ref="F49">IF($C49="","",_xlfn.XLOOKUP(1,(Configuración!D:D=$B49)*(Configuración!E:E=$C49),Configuración!F:F,""))</f>
        <v>BAT</v>
      </c>
      <c r="G49" s="19" t="str">
        <f>IF($D49="","",_xlfn.XLOOKUP($D49,Configuración!H:H,Configuración!I:I,""))</f>
        <v>TF</v>
      </c>
      <c r="H49" s="19" t="s">
        <v>67</v>
      </c>
      <c r="I49" s="19" t="s">
        <v>452</v>
      </c>
      <c r="J49" s="19" t="s">
        <v>65</v>
      </c>
      <c r="K49" s="19" t="s">
        <v>498</v>
      </c>
      <c r="L49" s="20">
        <v>4410</v>
      </c>
      <c r="M49" s="20">
        <f t="shared" si="2"/>
        <v>1110</v>
      </c>
      <c r="N49" s="20">
        <f t="shared" si="3"/>
        <v>4440</v>
      </c>
      <c r="O49" s="20">
        <v>6300</v>
      </c>
      <c r="P49" s="19" t="str">
        <f>IF($O49&lt;Configuración!$B$7,"NO","SI")</f>
        <v>SI</v>
      </c>
      <c r="Q49" s="20">
        <f>IF($P49="NO","NO APLICA",MAX(CEILING(($O49*(1-Configuración!$B$2))/Configuración!$B$3,Configuración!$B$6),Configuración!$B$5))</f>
        <v>630</v>
      </c>
      <c r="R49" s="20">
        <f>IF($Q49="NO APLICA","NO APLICA",$Q49*Configuración!$B$3)</f>
        <v>5040</v>
      </c>
      <c r="S49" s="19" t="str">
        <f>IF($O49&lt;Configuración!$B$8,"NO","SI")</f>
        <v>SI</v>
      </c>
      <c r="T49" s="20">
        <f>IF($S49="NO","NO APLICA",MAX(CEILING(($O49*(1-Configuración!$B$2))/Configuración!$B$4,Configuración!$B$6),Configuración!$B$5))</f>
        <v>420</v>
      </c>
      <c r="U49" s="20">
        <f>IF($T49="NO APLICA","NO APLICA",$T49*Configuración!$B$4)</f>
        <v>5040</v>
      </c>
      <c r="V49" s="20">
        <f>MAX(CEILING($O49/Configuración!$B$9,Configuración!$B$6),Configuración!$B$5)</f>
        <v>130</v>
      </c>
      <c r="W49" s="19" t="s">
        <v>277</v>
      </c>
      <c r="X49" s="33">
        <v>46079</v>
      </c>
      <c r="Y49" s="17"/>
    </row>
    <row r="50" spans="1:25" ht="31.2" x14ac:dyDescent="0.3">
      <c r="A50" s="19" t="str">
        <f>IF(OR(E50="",F50="",G50=""),"",E50&amp;"-"&amp;F50&amp;"-"&amp;G50&amp;"-"&amp;TEXT(COUNTIFS($E$2:E50,E50,$F$2:F50,F50,$G$2:G50,G50),"000"))</f>
        <v>ELE-BATI-ALU-001</v>
      </c>
      <c r="B50" s="19" t="s">
        <v>20</v>
      </c>
      <c r="C50" s="19" t="s">
        <v>413</v>
      </c>
      <c r="D50" s="19" t="s">
        <v>358</v>
      </c>
      <c r="E50" s="19" t="str">
        <f>_xlfn.XLOOKUP(B50,Configuración!A:A,Configuración!B:B,"")</f>
        <v>ELE</v>
      </c>
      <c r="F50" s="19" t="str" cm="1">
        <f t="array" ref="F50">IF($C50="","",_xlfn.XLOOKUP(1,(Configuración!D:D=$B50)*(Configuración!E:E=$C50),Configuración!F:F,""))</f>
        <v>BATI</v>
      </c>
      <c r="G50" s="19" t="str">
        <f>IF($D50="","",_xlfn.XLOOKUP($D50,Configuración!H:H,Configuración!I:I,""))</f>
        <v>ALU</v>
      </c>
      <c r="H50" s="19" t="s">
        <v>78</v>
      </c>
      <c r="I50" s="19" t="s">
        <v>460</v>
      </c>
      <c r="J50" s="19" t="s">
        <v>77</v>
      </c>
      <c r="K50" s="19" t="s">
        <v>276</v>
      </c>
      <c r="L50" s="20">
        <v>1820</v>
      </c>
      <c r="M50" s="20">
        <f t="shared" si="2"/>
        <v>460</v>
      </c>
      <c r="N50" s="20">
        <f t="shared" si="3"/>
        <v>1840</v>
      </c>
      <c r="O50" s="20">
        <v>2600</v>
      </c>
      <c r="P50" s="19" t="str">
        <f>IF($O50&lt;Configuración!$B$7,"NO","SI")</f>
        <v>SI</v>
      </c>
      <c r="Q50" s="20">
        <f>IF($P50="NO","NO APLICA",MAX(CEILING(($O50*(1-Configuración!$B$2))/Configuración!$B$3,Configuración!$B$6),Configuración!$B$5))</f>
        <v>260</v>
      </c>
      <c r="R50" s="20">
        <f>IF($Q50="NO APLICA","NO APLICA",$Q50*Configuración!$B$3)</f>
        <v>2080</v>
      </c>
      <c r="S50" s="19" t="str">
        <f>IF($O50&lt;Configuración!$B$8,"NO","SI")</f>
        <v>NO</v>
      </c>
      <c r="T50" s="20" t="str">
        <f>IF($S50="NO","NO APLICA",MAX(CEILING(($O50*(1-Configuración!$B$2))/Configuración!$B$4,Configuración!$B$6),Configuración!$B$5))</f>
        <v>NO APLICA</v>
      </c>
      <c r="U50" s="20" t="str">
        <f>IF($T50="NO APLICA","NO APLICA",$T50*Configuración!$B$4)</f>
        <v>NO APLICA</v>
      </c>
      <c r="V50" s="20">
        <f>MAX(CEILING($O50/Configuración!$B$9,Configuración!$B$6),Configuración!$B$5)</f>
        <v>100</v>
      </c>
      <c r="W50" s="19" t="s">
        <v>277</v>
      </c>
      <c r="X50" s="33">
        <v>46079</v>
      </c>
      <c r="Y50" s="17"/>
    </row>
    <row r="51" spans="1:25" ht="15.6" x14ac:dyDescent="0.3">
      <c r="A51" s="19" t="str">
        <f>IF(OR(E51="",F51="",G51=""),"",E51&amp;"-"&amp;F51&amp;"-"&amp;G51&amp;"-"&amp;TEXT(COUNTIFS($E$2:E51,E51,$F$2:F51,F51,$G$2:G51,G51),"000"))</f>
        <v>ELC-BOC-PSL-001</v>
      </c>
      <c r="B51" s="19" t="s">
        <v>203</v>
      </c>
      <c r="C51" s="19" t="s">
        <v>495</v>
      </c>
      <c r="D51" s="19" t="s">
        <v>328</v>
      </c>
      <c r="E51" s="19" t="str">
        <f>_xlfn.XLOOKUP(B51,Configuración!A:A,Configuración!B:B,"")</f>
        <v>ELC</v>
      </c>
      <c r="F51" s="19" t="str" cm="1">
        <f t="array" ref="F51">IF($C51="","",_xlfn.XLOOKUP(1,(Configuración!D:D=$B51)*(Configuración!E:E=$C51),Configuración!F:F,""))</f>
        <v>BOC</v>
      </c>
      <c r="G51" s="19" t="str">
        <f>IF($D51="","",_xlfn.XLOOKUP($D51,Configuración!H:H,Configuración!I:I,""))</f>
        <v>PSL</v>
      </c>
      <c r="H51" s="19" t="s">
        <v>201</v>
      </c>
      <c r="I51" s="19" t="s">
        <v>201</v>
      </c>
      <c r="J51" s="19" t="s">
        <v>202</v>
      </c>
      <c r="K51" s="19" t="s">
        <v>276</v>
      </c>
      <c r="L51" s="20">
        <v>4200</v>
      </c>
      <c r="M51" s="20">
        <f t="shared" si="2"/>
        <v>1050</v>
      </c>
      <c r="N51" s="20">
        <f t="shared" si="3"/>
        <v>4200</v>
      </c>
      <c r="O51" s="20">
        <v>6000</v>
      </c>
      <c r="P51" s="19" t="str">
        <f>IF($O51&lt;Configuración!$B$7,"NO","SI")</f>
        <v>SI</v>
      </c>
      <c r="Q51" s="20">
        <f>IF($P51="NO","NO APLICA",MAX(CEILING(($O51*(1-Configuración!$B$2))/Configuración!$B$3,Configuración!$B$6),Configuración!$B$5))</f>
        <v>600</v>
      </c>
      <c r="R51" s="20">
        <f>IF($Q51="NO APLICA","NO APLICA",$Q51*Configuración!$B$3)</f>
        <v>4800</v>
      </c>
      <c r="S51" s="19" t="str">
        <f>IF($O51&lt;Configuración!$B$8,"NO","SI")</f>
        <v>SI</v>
      </c>
      <c r="T51" s="20">
        <f>IF($S51="NO","NO APLICA",MAX(CEILING(($O51*(1-Configuración!$B$2))/Configuración!$B$4,Configuración!$B$6),Configuración!$B$5))</f>
        <v>400</v>
      </c>
      <c r="U51" s="20">
        <f>IF($T51="NO APLICA","NO APLICA",$T51*Configuración!$B$4)</f>
        <v>4800</v>
      </c>
      <c r="V51" s="20">
        <f>MAX(CEILING($O51/Configuración!$B$9,Configuración!$B$6),Configuración!$B$5)</f>
        <v>120</v>
      </c>
      <c r="W51" s="19" t="s">
        <v>277</v>
      </c>
      <c r="X51" s="33">
        <v>46079</v>
      </c>
      <c r="Y51" s="17"/>
    </row>
    <row r="52" spans="1:25" ht="15.6" x14ac:dyDescent="0.3">
      <c r="A52" s="19" t="str">
        <f>IF(OR(E52="",F52="",G52=""),"",E52&amp;"-"&amp;F52&amp;"-"&amp;G52&amp;"-"&amp;TEXT(COUNTIFS($E$2:E52,E52,$F$2:F52,F52,$G$2:G52,G52),"000"))</f>
        <v>COC-BUD-TF-001</v>
      </c>
      <c r="B52" s="19" t="s">
        <v>18</v>
      </c>
      <c r="C52" s="19" t="s">
        <v>312</v>
      </c>
      <c r="D52" s="19" t="s">
        <v>365</v>
      </c>
      <c r="E52" s="19" t="str">
        <f>_xlfn.XLOOKUP(B52,Configuración!A:A,Configuración!B:B,"")</f>
        <v>COC</v>
      </c>
      <c r="F52" s="19" t="str" cm="1">
        <f t="array" ref="F52">IF($C52="","",_xlfn.XLOOKUP(1,(Configuración!D:D=$B52)*(Configuración!E:E=$C52),Configuración!F:F,""))</f>
        <v>BUD</v>
      </c>
      <c r="G52" s="19" t="str">
        <f>IF($D52="","",_xlfn.XLOOKUP($D52,Configuración!H:H,Configuración!I:I,""))</f>
        <v>TF</v>
      </c>
      <c r="H52" s="19" t="s">
        <v>426</v>
      </c>
      <c r="I52" s="19" t="s">
        <v>427</v>
      </c>
      <c r="J52" s="19" t="s">
        <v>34</v>
      </c>
      <c r="K52" s="19" t="s">
        <v>498</v>
      </c>
      <c r="L52" s="20">
        <v>3500</v>
      </c>
      <c r="M52" s="20">
        <f t="shared" si="2"/>
        <v>880</v>
      </c>
      <c r="N52" s="20">
        <f t="shared" si="3"/>
        <v>3520</v>
      </c>
      <c r="O52" s="20">
        <v>5000</v>
      </c>
      <c r="P52" s="19" t="str">
        <f>IF($O52&lt;Configuración!$B$7,"NO","SI")</f>
        <v>SI</v>
      </c>
      <c r="Q52" s="20">
        <f>IF($P52="NO","NO APLICA",MAX(CEILING(($O52*(1-Configuración!$B$2))/Configuración!$B$3,Configuración!$B$6),Configuración!$B$5))</f>
        <v>500</v>
      </c>
      <c r="R52" s="20">
        <f>IF($Q52="NO APLICA","NO APLICA",$Q52*Configuración!$B$3)</f>
        <v>4000</v>
      </c>
      <c r="S52" s="19" t="str">
        <f>IF($O52&lt;Configuración!$B$8,"NO","SI")</f>
        <v>SI</v>
      </c>
      <c r="T52" s="20">
        <f>IF($S52="NO","NO APLICA",MAX(CEILING(($O52*(1-Configuración!$B$2))/Configuración!$B$4,Configuración!$B$6),Configuración!$B$5))</f>
        <v>340</v>
      </c>
      <c r="U52" s="20">
        <f>IF($T52="NO APLICA","NO APLICA",$T52*Configuración!$B$4)</f>
        <v>4080</v>
      </c>
      <c r="V52" s="20">
        <f>MAX(CEILING($O52/Configuración!$B$9,Configuración!$B$6),Configuración!$B$5)</f>
        <v>100</v>
      </c>
      <c r="W52" s="19" t="s">
        <v>277</v>
      </c>
      <c r="X52" s="33">
        <v>46080</v>
      </c>
      <c r="Y52" s="17"/>
    </row>
    <row r="53" spans="1:25" ht="15.6" x14ac:dyDescent="0.3">
      <c r="A53" s="19" t="str">
        <f>IF(OR(E53="",F53="",G53=""),"",E53&amp;"-"&amp;F53&amp;"-"&amp;G53&amp;"-"&amp;TEXT(COUNTIFS($E$2:E53,E53,$F$2:F53,F53,$G$2:G53,G53),"000"))</f>
        <v>COC-BUD-ALU-001</v>
      </c>
      <c r="B53" s="19" t="s">
        <v>18</v>
      </c>
      <c r="C53" s="19" t="s">
        <v>312</v>
      </c>
      <c r="D53" s="19" t="s">
        <v>358</v>
      </c>
      <c r="E53" s="19" t="str">
        <f>_xlfn.XLOOKUP(B53,Configuración!A:A,Configuración!B:B,"")</f>
        <v>COC</v>
      </c>
      <c r="F53" s="19" t="str" cm="1">
        <f t="array" ref="F53">IF($C53="","",_xlfn.XLOOKUP(1,(Configuración!D:D=$B53)*(Configuración!E:E=$C53),Configuración!F:F,""))</f>
        <v>BUD</v>
      </c>
      <c r="G53" s="19" t="str">
        <f>IF($D53="","",_xlfn.XLOOKUP($D53,Configuración!H:H,Configuración!I:I,""))</f>
        <v>ALU</v>
      </c>
      <c r="H53" s="19" t="s">
        <v>48</v>
      </c>
      <c r="I53" s="19" t="s">
        <v>48</v>
      </c>
      <c r="J53" s="19" t="s">
        <v>34</v>
      </c>
      <c r="K53" s="19" t="s">
        <v>498</v>
      </c>
      <c r="L53" s="20">
        <v>1820</v>
      </c>
      <c r="M53" s="20">
        <f t="shared" si="2"/>
        <v>460</v>
      </c>
      <c r="N53" s="20">
        <f t="shared" si="3"/>
        <v>1840</v>
      </c>
      <c r="O53" s="20">
        <v>2600</v>
      </c>
      <c r="P53" s="19" t="str">
        <f>IF($O53&lt;Configuración!$B$7,"NO","SI")</f>
        <v>SI</v>
      </c>
      <c r="Q53" s="20">
        <f>IF($P53="NO","NO APLICA",MAX(CEILING(($O53*(1-Configuración!$B$2))/Configuración!$B$3,Configuración!$B$6),Configuración!$B$5))</f>
        <v>260</v>
      </c>
      <c r="R53" s="20">
        <f>IF($Q53="NO APLICA","NO APLICA",$Q53*Configuración!$B$3)</f>
        <v>2080</v>
      </c>
      <c r="S53" s="19" t="str">
        <f>IF($O53&lt;Configuración!$B$8,"NO","SI")</f>
        <v>NO</v>
      </c>
      <c r="T53" s="20" t="str">
        <f>IF($S53="NO","NO APLICA",MAX(CEILING(($O53*(1-Configuración!$B$2))/Configuración!$B$4,Configuración!$B$6),Configuración!$B$5))</f>
        <v>NO APLICA</v>
      </c>
      <c r="U53" s="20" t="str">
        <f>IF($T53="NO APLICA","NO APLICA",$T53*Configuración!$B$4)</f>
        <v>NO APLICA</v>
      </c>
      <c r="V53" s="20">
        <f>MAX(CEILING($O53/Configuración!$B$9,Configuración!$B$6),Configuración!$B$5)</f>
        <v>100</v>
      </c>
      <c r="W53" s="19" t="s">
        <v>277</v>
      </c>
      <c r="X53" s="33">
        <v>46079</v>
      </c>
      <c r="Y53" s="17"/>
    </row>
    <row r="54" spans="1:25" ht="15.6" x14ac:dyDescent="0.3">
      <c r="A54" s="19" t="str">
        <f>IF(OR(E54="",F54="",G54=""),"",E54&amp;"-"&amp;F54&amp;"-"&amp;G54&amp;"-"&amp;TEXT(COUNTIFS($E$2:E54,E54,$F$2:F54,F54,$G$2:G54,G54),"000"))</f>
        <v>COC-BUD-TF-002</v>
      </c>
      <c r="B54" s="19" t="s">
        <v>18</v>
      </c>
      <c r="C54" s="19" t="s">
        <v>312</v>
      </c>
      <c r="D54" s="19" t="s">
        <v>365</v>
      </c>
      <c r="E54" s="19" t="str">
        <f>_xlfn.XLOOKUP(B54,Configuración!A:A,Configuración!B:B,"")</f>
        <v>COC</v>
      </c>
      <c r="F54" s="19" t="str" cm="1">
        <f t="array" ref="F54">IF($C54="","",_xlfn.XLOOKUP(1,(Configuración!D:D=$B54)*(Configuración!E:E=$C54),Configuración!F:F,""))</f>
        <v>BUD</v>
      </c>
      <c r="G54" s="19" t="str">
        <f>IF($D54="","",_xlfn.XLOOKUP($D54,Configuración!H:H,Configuración!I:I,""))</f>
        <v>TF</v>
      </c>
      <c r="H54" s="19" t="s">
        <v>49</v>
      </c>
      <c r="I54" s="19" t="s">
        <v>49</v>
      </c>
      <c r="J54" s="19" t="s">
        <v>32</v>
      </c>
      <c r="K54" s="19" t="s">
        <v>498</v>
      </c>
      <c r="L54" s="20">
        <v>3850</v>
      </c>
      <c r="M54" s="20">
        <f t="shared" si="2"/>
        <v>970</v>
      </c>
      <c r="N54" s="20">
        <f t="shared" si="3"/>
        <v>3880</v>
      </c>
      <c r="O54" s="20">
        <v>5500</v>
      </c>
      <c r="P54" s="19" t="str">
        <f>IF($O54&lt;Configuración!$B$7,"NO","SI")</f>
        <v>SI</v>
      </c>
      <c r="Q54" s="20">
        <f>IF($P54="NO","NO APLICA",MAX(CEILING(($O54*(1-Configuración!$B$2))/Configuración!$B$3,Configuración!$B$6),Configuración!$B$5))</f>
        <v>550</v>
      </c>
      <c r="R54" s="20">
        <f>IF($Q54="NO APLICA","NO APLICA",$Q54*Configuración!$B$3)</f>
        <v>4400</v>
      </c>
      <c r="S54" s="19" t="str">
        <f>IF($O54&lt;Configuración!$B$8,"NO","SI")</f>
        <v>SI</v>
      </c>
      <c r="T54" s="20">
        <f>IF($S54="NO","NO APLICA",MAX(CEILING(($O54*(1-Configuración!$B$2))/Configuración!$B$4,Configuración!$B$6),Configuración!$B$5))</f>
        <v>370</v>
      </c>
      <c r="U54" s="20">
        <f>IF($T54="NO APLICA","NO APLICA",$T54*Configuración!$B$4)</f>
        <v>4440</v>
      </c>
      <c r="V54" s="20">
        <f>MAX(CEILING($O54/Configuración!$B$9,Configuración!$B$6),Configuración!$B$5)</f>
        <v>110</v>
      </c>
      <c r="W54" s="19" t="s">
        <v>277</v>
      </c>
      <c r="X54" s="33">
        <v>46079</v>
      </c>
      <c r="Y54" s="17"/>
    </row>
    <row r="55" spans="1:25" ht="15.6" x14ac:dyDescent="0.3">
      <c r="A55" s="19" t="str">
        <f>IF(OR(E55="",F55="",G55=""),"",E55&amp;"-"&amp;F55&amp;"-"&amp;G55&amp;"-"&amp;TEXT(COUNTIFS($E$2:E55,E55,$F$2:F55,F55,$G$2:G55,G55),"000"))</f>
        <v>COC-BUD-ALUT-001</v>
      </c>
      <c r="B55" s="19" t="s">
        <v>18</v>
      </c>
      <c r="C55" s="19" t="s">
        <v>312</v>
      </c>
      <c r="D55" s="19" t="s">
        <v>453</v>
      </c>
      <c r="E55" s="19" t="str">
        <f>_xlfn.XLOOKUP(B55,Configuración!A:A,Configuración!B:B,"")</f>
        <v>COC</v>
      </c>
      <c r="F55" s="19" t="str" cm="1">
        <f t="array" ref="F55">IF($C55="","",_xlfn.XLOOKUP(1,(Configuración!D:D=$B55)*(Configuración!E:E=$C55),Configuración!F:F,""))</f>
        <v>BUD</v>
      </c>
      <c r="G55" s="19" t="str">
        <f>IF($D55="","",_xlfn.XLOOKUP($D55,Configuración!H:H,Configuración!I:I,""))</f>
        <v>ALUT</v>
      </c>
      <c r="H55" s="19" t="s">
        <v>106</v>
      </c>
      <c r="I55" s="19" t="s">
        <v>106</v>
      </c>
      <c r="J55" s="19" t="s">
        <v>38</v>
      </c>
      <c r="K55" s="19" t="s">
        <v>498</v>
      </c>
      <c r="L55" s="20">
        <v>2100</v>
      </c>
      <c r="M55" s="20">
        <f t="shared" si="2"/>
        <v>530</v>
      </c>
      <c r="N55" s="20">
        <f t="shared" si="3"/>
        <v>2120</v>
      </c>
      <c r="O55" s="20">
        <v>3000</v>
      </c>
      <c r="P55" s="19" t="str">
        <f>IF($O55&lt;Configuración!$B$7,"NO","SI")</f>
        <v>SI</v>
      </c>
      <c r="Q55" s="20">
        <f>IF($P55="NO","NO APLICA",MAX(CEILING(($O55*(1-Configuración!$B$2))/Configuración!$B$3,Configuración!$B$6),Configuración!$B$5))</f>
        <v>300</v>
      </c>
      <c r="R55" s="20">
        <f>IF($Q55="NO APLICA","NO APLICA",$Q55*Configuración!$B$3)</f>
        <v>2400</v>
      </c>
      <c r="S55" s="19" t="str">
        <f>IF($O55&lt;Configuración!$B$8,"NO","SI")</f>
        <v>SI</v>
      </c>
      <c r="T55" s="20">
        <f>IF($S55="NO","NO APLICA",MAX(CEILING(($O55*(1-Configuración!$B$2))/Configuración!$B$4,Configuración!$B$6),Configuración!$B$5))</f>
        <v>200</v>
      </c>
      <c r="U55" s="20">
        <f>IF($T55="NO APLICA","NO APLICA",$T55*Configuración!$B$4)</f>
        <v>2400</v>
      </c>
      <c r="V55" s="20">
        <f>MAX(CEILING($O55/Configuración!$B$9,Configuración!$B$6),Configuración!$B$5)</f>
        <v>100</v>
      </c>
      <c r="W55" s="19" t="s">
        <v>277</v>
      </c>
      <c r="X55" s="33">
        <v>46079</v>
      </c>
      <c r="Y55" s="17"/>
    </row>
    <row r="56" spans="1:25" ht="15.6" x14ac:dyDescent="0.3">
      <c r="A56" s="19" t="str">
        <f>IF(OR(E56="",F56="",G56=""),"",E56&amp;"-"&amp;F56&amp;"-"&amp;G56&amp;"-"&amp;TEXT(COUNTIFS($E$2:E56,E56,$F$2:F56,F56,$G$2:G56,G56),"000"))</f>
        <v>COC-BUD-TF-003</v>
      </c>
      <c r="B56" s="19" t="s">
        <v>18</v>
      </c>
      <c r="C56" s="19" t="s">
        <v>312</v>
      </c>
      <c r="D56" s="19" t="s">
        <v>365</v>
      </c>
      <c r="E56" s="19" t="str">
        <f>_xlfn.XLOOKUP(B56,Configuración!A:A,Configuración!B:B,"")</f>
        <v>COC</v>
      </c>
      <c r="F56" s="19" t="str" cm="1">
        <f t="array" ref="F56">IF($C56="","",_xlfn.XLOOKUP(1,(Configuración!D:D=$B56)*(Configuración!E:E=$C56),Configuración!F:F,""))</f>
        <v>BUD</v>
      </c>
      <c r="G56" s="19" t="str">
        <f>IF($D56="","",_xlfn.XLOOKUP($D56,Configuración!H:H,Configuración!I:I,""))</f>
        <v>TF</v>
      </c>
      <c r="H56" s="19" t="s">
        <v>55</v>
      </c>
      <c r="I56" s="19" t="s">
        <v>55</v>
      </c>
      <c r="J56" s="19" t="s">
        <v>34</v>
      </c>
      <c r="K56" s="19" t="s">
        <v>498</v>
      </c>
      <c r="L56" s="20">
        <v>1610</v>
      </c>
      <c r="M56" s="20">
        <f t="shared" si="2"/>
        <v>410</v>
      </c>
      <c r="N56" s="20">
        <f t="shared" si="3"/>
        <v>1640</v>
      </c>
      <c r="O56" s="20">
        <v>2300</v>
      </c>
      <c r="P56" s="19" t="str">
        <f>IF($O56&lt;Configuración!$B$7,"NO","SI")</f>
        <v>SI</v>
      </c>
      <c r="Q56" s="20">
        <f>IF($P56="NO","NO APLICA",MAX(CEILING(($O56*(1-Configuración!$B$2))/Configuración!$B$3,Configuración!$B$6),Configuración!$B$5))</f>
        <v>230</v>
      </c>
      <c r="R56" s="20">
        <f>IF($Q56="NO APLICA","NO APLICA",$Q56*Configuración!$B$3)</f>
        <v>1840</v>
      </c>
      <c r="S56" s="19" t="str">
        <f>IF($O56&lt;Configuración!$B$8,"NO","SI")</f>
        <v>NO</v>
      </c>
      <c r="T56" s="20" t="str">
        <f>IF($S56="NO","NO APLICA",MAX(CEILING(($O56*(1-Configuración!$B$2))/Configuración!$B$4,Configuración!$B$6),Configuración!$B$5))</f>
        <v>NO APLICA</v>
      </c>
      <c r="U56" s="20" t="str">
        <f>IF($T56="NO APLICA","NO APLICA",$T56*Configuración!$B$4)</f>
        <v>NO APLICA</v>
      </c>
      <c r="V56" s="20">
        <f>MAX(CEILING($O56/Configuración!$B$9,Configuración!$B$6),Configuración!$B$5)</f>
        <v>100</v>
      </c>
      <c r="W56" s="19" t="s">
        <v>277</v>
      </c>
      <c r="X56" s="33">
        <v>46079</v>
      </c>
      <c r="Y56" s="17"/>
    </row>
    <row r="57" spans="1:25" ht="15.6" x14ac:dyDescent="0.3">
      <c r="A57" s="19" t="str">
        <f>IF(OR(E57="",F57="",G57=""),"",E57&amp;"-"&amp;F57&amp;"-"&amp;G57&amp;"-"&amp;TEXT(COUNTIFS($E$2:E57,E57,$F$2:F57,F57,$G$2:G57,G57),"000"))</f>
        <v>MOB-BUR-TUB-001</v>
      </c>
      <c r="B57" s="19" t="s">
        <v>19</v>
      </c>
      <c r="C57" s="19" t="s">
        <v>405</v>
      </c>
      <c r="D57" s="19" t="s">
        <v>329</v>
      </c>
      <c r="E57" s="19" t="str">
        <f>_xlfn.XLOOKUP(B57,Configuración!A:A,Configuración!B:B,"")</f>
        <v>MOB</v>
      </c>
      <c r="F57" s="19" t="str" cm="1">
        <f t="array" ref="F57">IF($C57="","",_xlfn.XLOOKUP(1,(Configuración!D:D=$B57)*(Configuración!E:E=$C57),Configuración!F:F,""))</f>
        <v>BUR</v>
      </c>
      <c r="G57" s="19" t="str">
        <f>IF($D57="","",_xlfn.XLOOKUP($D57,Configuración!H:H,Configuración!I:I,""))</f>
        <v>TUB</v>
      </c>
      <c r="H57" s="19" t="s">
        <v>187</v>
      </c>
      <c r="I57" s="19" t="s">
        <v>187</v>
      </c>
      <c r="J57" s="19" t="s">
        <v>156</v>
      </c>
      <c r="K57" s="19" t="s">
        <v>276</v>
      </c>
      <c r="L57" s="20">
        <v>1400</v>
      </c>
      <c r="M57" s="20">
        <f t="shared" si="2"/>
        <v>350</v>
      </c>
      <c r="N57" s="20">
        <f t="shared" si="3"/>
        <v>1400</v>
      </c>
      <c r="O57" s="20">
        <v>2000</v>
      </c>
      <c r="P57" s="19" t="str">
        <f>IF($O57&lt;Configuración!$B$7,"NO","SI")</f>
        <v>SI</v>
      </c>
      <c r="Q57" s="20">
        <f>IF($P57="NO","NO APLICA",MAX(CEILING(($O57*(1-Configuración!$B$2))/Configuración!$B$3,Configuración!$B$6),Configuración!$B$5))</f>
        <v>200</v>
      </c>
      <c r="R57" s="20">
        <f>IF($Q57="NO APLICA","NO APLICA",$Q57*Configuración!$B$3)</f>
        <v>1600</v>
      </c>
      <c r="S57" s="19" t="str">
        <f>IF($O57&lt;Configuración!$B$8,"NO","SI")</f>
        <v>NO</v>
      </c>
      <c r="T57" s="20" t="str">
        <f>IF($S57="NO","NO APLICA",MAX(CEILING(($O57*(1-Configuración!$B$2))/Configuración!$B$4,Configuración!$B$6),Configuración!$B$5))</f>
        <v>NO APLICA</v>
      </c>
      <c r="U57" s="20" t="str">
        <f>IF($T57="NO APLICA","NO APLICA",$T57*Configuración!$B$4)</f>
        <v>NO APLICA</v>
      </c>
      <c r="V57" s="20">
        <f>MAX(CEILING($O57/Configuración!$B$9,Configuración!$B$6),Configuración!$B$5)</f>
        <v>100</v>
      </c>
      <c r="W57" s="19" t="s">
        <v>277</v>
      </c>
      <c r="X57" s="33">
        <v>46079</v>
      </c>
      <c r="Y57" s="17"/>
    </row>
    <row r="58" spans="1:25" ht="15.6" x14ac:dyDescent="0.3">
      <c r="A58" s="19" t="str">
        <f>IF(OR(E58="",F58="",G58=""),"",E58&amp;"-"&amp;F58&amp;"-"&amp;G58&amp;"-"&amp;TEXT(COUNTIFS($E$2:E58,E58,$F$2:F58,F58,$G$2:G58,G58),"000"))</f>
        <v>MOB-CAJ-PSL-001</v>
      </c>
      <c r="B58" s="19" t="s">
        <v>19</v>
      </c>
      <c r="C58" s="19" t="s">
        <v>385</v>
      </c>
      <c r="D58" s="19" t="s">
        <v>328</v>
      </c>
      <c r="E58" s="19" t="str">
        <f>_xlfn.XLOOKUP(B58,Configuración!A:A,Configuración!B:B,"")</f>
        <v>MOB</v>
      </c>
      <c r="F58" s="19" t="str" cm="1">
        <f t="array" ref="F58">IF($C58="","",_xlfn.XLOOKUP(1,(Configuración!D:D=$B58)*(Configuración!E:E=$C58),Configuración!F:F,""))</f>
        <v>CAJ</v>
      </c>
      <c r="G58" s="19" t="str">
        <f>IF($D58="","",_xlfn.XLOOKUP($D58,Configuración!H:H,Configuración!I:I,""))</f>
        <v>PSL</v>
      </c>
      <c r="H58" s="19" t="s">
        <v>130</v>
      </c>
      <c r="I58" s="19" t="s">
        <v>130</v>
      </c>
      <c r="J58" s="19" t="s">
        <v>129</v>
      </c>
      <c r="K58" s="19" t="s">
        <v>276</v>
      </c>
      <c r="L58" s="20">
        <v>2450</v>
      </c>
      <c r="M58" s="20">
        <f t="shared" si="2"/>
        <v>620</v>
      </c>
      <c r="N58" s="20">
        <f t="shared" si="3"/>
        <v>2480</v>
      </c>
      <c r="O58" s="20">
        <v>3500</v>
      </c>
      <c r="P58" s="19" t="str">
        <f>IF($O58&lt;Configuración!$B$7,"NO","SI")</f>
        <v>SI</v>
      </c>
      <c r="Q58" s="20">
        <f>IF($P58="NO","NO APLICA",MAX(CEILING(($O58*(1-Configuración!$B$2))/Configuración!$B$3,Configuración!$B$6),Configuración!$B$5))</f>
        <v>350</v>
      </c>
      <c r="R58" s="20">
        <f>IF($Q58="NO APLICA","NO APLICA",$Q58*Configuración!$B$3)</f>
        <v>2800</v>
      </c>
      <c r="S58" s="19" t="str">
        <f>IF($O58&lt;Configuración!$B$8,"NO","SI")</f>
        <v>SI</v>
      </c>
      <c r="T58" s="20">
        <f>IF($S58="NO","NO APLICA",MAX(CEILING(($O58*(1-Configuración!$B$2))/Configuración!$B$4,Configuración!$B$6),Configuración!$B$5))</f>
        <v>240</v>
      </c>
      <c r="U58" s="20">
        <f>IF($T58="NO APLICA","NO APLICA",$T58*Configuración!$B$4)</f>
        <v>2880</v>
      </c>
      <c r="V58" s="20">
        <f>MAX(CEILING($O58/Configuración!$B$9,Configuración!$B$6),Configuración!$B$5)</f>
        <v>100</v>
      </c>
      <c r="W58" s="19" t="s">
        <v>277</v>
      </c>
      <c r="X58" s="33">
        <v>46079</v>
      </c>
      <c r="Y58" s="17"/>
    </row>
    <row r="59" spans="1:25" ht="15.6" x14ac:dyDescent="0.3">
      <c r="A59" s="19" t="str">
        <f>IF(OR(E59="",F59="",G59=""),"",E59&amp;"-"&amp;F59&amp;"-"&amp;G59&amp;"-"&amp;TEXT(COUNTIFS($E$2:E59,E59,$F$2:F59,F59,$G$2:G59,G59),"000"))</f>
        <v>MOB-CAJ-PSL-002</v>
      </c>
      <c r="B59" s="19" t="s">
        <v>19</v>
      </c>
      <c r="C59" s="19" t="s">
        <v>385</v>
      </c>
      <c r="D59" s="19" t="s">
        <v>328</v>
      </c>
      <c r="E59" s="19" t="str">
        <f>_xlfn.XLOOKUP(B59,Configuración!A:A,Configuración!B:B,"")</f>
        <v>MOB</v>
      </c>
      <c r="F59" s="19" t="str" cm="1">
        <f t="array" ref="F59">IF($C59="","",_xlfn.XLOOKUP(1,(Configuración!D:D=$B59)*(Configuración!E:E=$C59),Configuración!F:F,""))</f>
        <v>CAJ</v>
      </c>
      <c r="G59" s="19" t="str">
        <f>IF($D59="","",_xlfn.XLOOKUP($D59,Configuración!H:H,Configuración!I:I,""))</f>
        <v>PSL</v>
      </c>
      <c r="H59" s="19" t="s">
        <v>131</v>
      </c>
      <c r="I59" s="19" t="s">
        <v>131</v>
      </c>
      <c r="J59" s="19" t="s">
        <v>132</v>
      </c>
      <c r="K59" s="19" t="s">
        <v>276</v>
      </c>
      <c r="L59" s="20">
        <v>2450</v>
      </c>
      <c r="M59" s="20">
        <f t="shared" si="2"/>
        <v>620</v>
      </c>
      <c r="N59" s="20">
        <f t="shared" si="3"/>
        <v>2480</v>
      </c>
      <c r="O59" s="20">
        <v>3500</v>
      </c>
      <c r="P59" s="19" t="str">
        <f>IF($O59&lt;Configuración!$B$7,"NO","SI")</f>
        <v>SI</v>
      </c>
      <c r="Q59" s="20">
        <f>IF($P59="NO","NO APLICA",MAX(CEILING(($O59*(1-Configuración!$B$2))/Configuración!$B$3,Configuración!$B$6),Configuración!$B$5))</f>
        <v>350</v>
      </c>
      <c r="R59" s="20">
        <f>IF($Q59="NO APLICA","NO APLICA",$Q59*Configuración!$B$3)</f>
        <v>2800</v>
      </c>
      <c r="S59" s="19" t="str">
        <f>IF($O59&lt;Configuración!$B$8,"NO","SI")</f>
        <v>SI</v>
      </c>
      <c r="T59" s="20">
        <f>IF($S59="NO","NO APLICA",MAX(CEILING(($O59*(1-Configuración!$B$2))/Configuración!$B$4,Configuración!$B$6),Configuración!$B$5))</f>
        <v>240</v>
      </c>
      <c r="U59" s="20">
        <f>IF($T59="NO APLICA","NO APLICA",$T59*Configuración!$B$4)</f>
        <v>2880</v>
      </c>
      <c r="V59" s="20">
        <f>MAX(CEILING($O59/Configuración!$B$9,Configuración!$B$6),Configuración!$B$5)</f>
        <v>100</v>
      </c>
      <c r="W59" s="19" t="s">
        <v>277</v>
      </c>
      <c r="X59" s="33">
        <v>46079</v>
      </c>
      <c r="Y59" s="17"/>
    </row>
    <row r="60" spans="1:25" ht="15.6" x14ac:dyDescent="0.3">
      <c r="A60" s="19" t="str">
        <f>IF(OR(E60="",F60="",G60=""),"",E60&amp;"-"&amp;F60&amp;"-"&amp;G60&amp;"-"&amp;TEXT(COUNTIFS($E$2:E60,E60,$F$2:F60,F60,$G$2:G60,G60),"000"))</f>
        <v>MOB-CAJ-PSL-003</v>
      </c>
      <c r="B60" s="19" t="s">
        <v>19</v>
      </c>
      <c r="C60" s="19" t="s">
        <v>385</v>
      </c>
      <c r="D60" s="19" t="s">
        <v>328</v>
      </c>
      <c r="E60" s="19" t="str">
        <f>_xlfn.XLOOKUP(B60,Configuración!A:A,Configuración!B:B,"")</f>
        <v>MOB</v>
      </c>
      <c r="F60" s="19" t="str" cm="1">
        <f t="array" ref="F60">IF($C60="","",_xlfn.XLOOKUP(1,(Configuración!D:D=$B60)*(Configuración!E:E=$C60),Configuración!F:F,""))</f>
        <v>CAJ</v>
      </c>
      <c r="G60" s="19" t="str">
        <f>IF($D60="","",_xlfn.XLOOKUP($D60,Configuración!H:H,Configuración!I:I,""))</f>
        <v>PSL</v>
      </c>
      <c r="H60" s="19" t="s">
        <v>134</v>
      </c>
      <c r="I60" s="19" t="s">
        <v>134</v>
      </c>
      <c r="J60" s="19" t="s">
        <v>129</v>
      </c>
      <c r="K60" s="19" t="s">
        <v>276</v>
      </c>
      <c r="L60" s="20">
        <v>2520</v>
      </c>
      <c r="M60" s="20">
        <f t="shared" si="2"/>
        <v>630</v>
      </c>
      <c r="N60" s="20">
        <f t="shared" si="3"/>
        <v>2520</v>
      </c>
      <c r="O60" s="20">
        <v>3600</v>
      </c>
      <c r="P60" s="19" t="str">
        <f>IF($O60&lt;Configuración!$B$7,"NO","SI")</f>
        <v>SI</v>
      </c>
      <c r="Q60" s="20">
        <f>IF($P60="NO","NO APLICA",MAX(CEILING(($O60*(1-Configuración!$B$2))/Configuración!$B$3,Configuración!$B$6),Configuración!$B$5))</f>
        <v>360</v>
      </c>
      <c r="R60" s="20">
        <f>IF($Q60="NO APLICA","NO APLICA",$Q60*Configuración!$B$3)</f>
        <v>2880</v>
      </c>
      <c r="S60" s="19" t="str">
        <f>IF($O60&lt;Configuración!$B$8,"NO","SI")</f>
        <v>SI</v>
      </c>
      <c r="T60" s="20">
        <f>IF($S60="NO","NO APLICA",MAX(CEILING(($O60*(1-Configuración!$B$2))/Configuración!$B$4,Configuración!$B$6),Configuración!$B$5))</f>
        <v>240</v>
      </c>
      <c r="U60" s="20">
        <f>IF($T60="NO APLICA","NO APLICA",$T60*Configuración!$B$4)</f>
        <v>2880</v>
      </c>
      <c r="V60" s="20">
        <f>MAX(CEILING($O60/Configuración!$B$9,Configuración!$B$6),Configuración!$B$5)</f>
        <v>100</v>
      </c>
      <c r="W60" s="19" t="s">
        <v>277</v>
      </c>
      <c r="X60" s="33">
        <v>46079</v>
      </c>
      <c r="Y60" s="17"/>
    </row>
    <row r="61" spans="1:25" ht="15.6" x14ac:dyDescent="0.3">
      <c r="A61" s="19" t="str">
        <f>IF(OR(E61="",F61="",G61=""),"",E61&amp;"-"&amp;F61&amp;"-"&amp;G61&amp;"-"&amp;TEXT(COUNTIFS($E$2:E61,E61,$F$2:F61,F61,$G$2:G61,G61),"000"))</f>
        <v>MOB-CAJ-MAD-001</v>
      </c>
      <c r="B61" s="19" t="s">
        <v>19</v>
      </c>
      <c r="C61" s="19" t="s">
        <v>385</v>
      </c>
      <c r="D61" s="19" t="s">
        <v>209</v>
      </c>
      <c r="E61" s="19" t="str">
        <f>_xlfn.XLOOKUP(B61,Configuración!A:A,Configuración!B:B,"")</f>
        <v>MOB</v>
      </c>
      <c r="F61" s="19" t="str" cm="1">
        <f t="array" ref="F61">IF($C61="","",_xlfn.XLOOKUP(1,(Configuración!D:D=$B61)*(Configuración!E:E=$C61),Configuración!F:F,""))</f>
        <v>CAJ</v>
      </c>
      <c r="G61" s="19" t="str">
        <f>IF($D61="","",_xlfn.XLOOKUP($D61,Configuración!H:H,Configuración!I:I,""))</f>
        <v>MAD</v>
      </c>
      <c r="H61" s="19" t="s">
        <v>223</v>
      </c>
      <c r="I61" s="19" t="s">
        <v>223</v>
      </c>
      <c r="J61" s="19" t="s">
        <v>211</v>
      </c>
      <c r="K61" s="19" t="s">
        <v>276</v>
      </c>
      <c r="L61" s="20">
        <v>6300</v>
      </c>
      <c r="M61" s="20">
        <f t="shared" si="2"/>
        <v>1580</v>
      </c>
      <c r="N61" s="20">
        <f t="shared" si="3"/>
        <v>6320</v>
      </c>
      <c r="O61" s="20">
        <v>9000</v>
      </c>
      <c r="P61" s="19" t="str">
        <f>IF($O61&lt;Configuración!$B$7,"NO","SI")</f>
        <v>SI</v>
      </c>
      <c r="Q61" s="20">
        <f>IF($P61="NO","NO APLICA",MAX(CEILING(($O61*(1-Configuración!$B$2))/Configuración!$B$3,Configuración!$B$6),Configuración!$B$5))</f>
        <v>900</v>
      </c>
      <c r="R61" s="20">
        <f>IF($Q61="NO APLICA","NO APLICA",$Q61*Configuración!$B$3)</f>
        <v>7200</v>
      </c>
      <c r="S61" s="19" t="str">
        <f>IF($O61&lt;Configuración!$B$8,"NO","SI")</f>
        <v>SI</v>
      </c>
      <c r="T61" s="20">
        <f>IF($S61="NO","NO APLICA",MAX(CEILING(($O61*(1-Configuración!$B$2))/Configuración!$B$4,Configuración!$B$6),Configuración!$B$5))</f>
        <v>600</v>
      </c>
      <c r="U61" s="20">
        <f>IF($T61="NO APLICA","NO APLICA",$T61*Configuración!$B$4)</f>
        <v>7200</v>
      </c>
      <c r="V61" s="20">
        <f>MAX(CEILING($O61/Configuración!$B$9,Configuración!$B$6),Configuración!$B$5)</f>
        <v>180</v>
      </c>
      <c r="W61" s="19" t="s">
        <v>277</v>
      </c>
      <c r="X61" s="33">
        <v>46079</v>
      </c>
      <c r="Y61" s="17"/>
    </row>
    <row r="62" spans="1:25" ht="15.6" x14ac:dyDescent="0.3">
      <c r="A62" s="19" t="str">
        <f>IF(OR(E62="",F62="",G62=""),"",E62&amp;"-"&amp;F62&amp;"-"&amp;G62&amp;"-"&amp;TEXT(COUNTIFS($E$2:E62,E62,$F$2:F62,F62,$G$2:G62,G62),"000"))</f>
        <v>MOB-CAJ-MAD-002</v>
      </c>
      <c r="B62" s="19" t="s">
        <v>19</v>
      </c>
      <c r="C62" s="19" t="s">
        <v>385</v>
      </c>
      <c r="D62" s="19" t="s">
        <v>209</v>
      </c>
      <c r="E62" s="19" t="str">
        <f>_xlfn.XLOOKUP(B62,Configuración!A:A,Configuración!B:B,"")</f>
        <v>MOB</v>
      </c>
      <c r="F62" s="19" t="str" cm="1">
        <f t="array" ref="F62">IF($C62="","",_xlfn.XLOOKUP(1,(Configuración!D:D=$B62)*(Configuración!E:E=$C62),Configuración!F:F,""))</f>
        <v>CAJ</v>
      </c>
      <c r="G62" s="19" t="str">
        <f>IF($D62="","",_xlfn.XLOOKUP($D62,Configuración!H:H,Configuración!I:I,""))</f>
        <v>MAD</v>
      </c>
      <c r="H62" s="19" t="s">
        <v>224</v>
      </c>
      <c r="I62" s="19" t="s">
        <v>224</v>
      </c>
      <c r="J62" s="19" t="s">
        <v>211</v>
      </c>
      <c r="K62" s="19" t="s">
        <v>276</v>
      </c>
      <c r="L62" s="20">
        <v>6650</v>
      </c>
      <c r="M62" s="20">
        <f t="shared" si="2"/>
        <v>1670</v>
      </c>
      <c r="N62" s="20">
        <f t="shared" si="3"/>
        <v>6680</v>
      </c>
      <c r="O62" s="20">
        <v>9500</v>
      </c>
      <c r="P62" s="19" t="str">
        <f>IF($O62&lt;Configuración!$B$7,"NO","SI")</f>
        <v>SI</v>
      </c>
      <c r="Q62" s="20">
        <f>IF($P62="NO","NO APLICA",MAX(CEILING(($O62*(1-Configuración!$B$2))/Configuración!$B$3,Configuración!$B$6),Configuración!$B$5))</f>
        <v>950</v>
      </c>
      <c r="R62" s="20">
        <f>IF($Q62="NO APLICA","NO APLICA",$Q62*Configuración!$B$3)</f>
        <v>7600</v>
      </c>
      <c r="S62" s="19" t="str">
        <f>IF($O62&lt;Configuración!$B$8,"NO","SI")</f>
        <v>SI</v>
      </c>
      <c r="T62" s="20">
        <f>IF($S62="NO","NO APLICA",MAX(CEILING(($O62*(1-Configuración!$B$2))/Configuración!$B$4,Configuración!$B$6),Configuración!$B$5))</f>
        <v>640</v>
      </c>
      <c r="U62" s="20">
        <f>IF($T62="NO APLICA","NO APLICA",$T62*Configuración!$B$4)</f>
        <v>7680</v>
      </c>
      <c r="V62" s="20">
        <f>MAX(CEILING($O62/Configuración!$B$9,Configuración!$B$6),Configuración!$B$5)</f>
        <v>190</v>
      </c>
      <c r="W62" s="19" t="s">
        <v>277</v>
      </c>
      <c r="X62" s="33">
        <v>46079</v>
      </c>
      <c r="Y62" s="17"/>
    </row>
    <row r="63" spans="1:25" ht="15.6" x14ac:dyDescent="0.3">
      <c r="A63" s="19" t="str">
        <f>IF(OR(E63="",F63="",G63=""),"",E63&amp;"-"&amp;F63&amp;"-"&amp;G63&amp;"-"&amp;TEXT(COUNTIFS($E$2:E63,E63,$F$2:F63,F63,$G$2:G63,G63),"000"))</f>
        <v>MOB-CAJ-MAD-003</v>
      </c>
      <c r="B63" s="19" t="s">
        <v>19</v>
      </c>
      <c r="C63" s="19" t="s">
        <v>385</v>
      </c>
      <c r="D63" s="19" t="s">
        <v>209</v>
      </c>
      <c r="E63" s="19" t="str">
        <f>_xlfn.XLOOKUP(B63,Configuración!A:A,Configuración!B:B,"")</f>
        <v>MOB</v>
      </c>
      <c r="F63" s="19" t="str" cm="1">
        <f t="array" ref="F63">IF($C63="","",_xlfn.XLOOKUP(1,(Configuración!D:D=$B63)*(Configuración!E:E=$C63),Configuración!F:F,""))</f>
        <v>CAJ</v>
      </c>
      <c r="G63" s="19" t="str">
        <f>IF($D63="","",_xlfn.XLOOKUP($D63,Configuración!H:H,Configuración!I:I,""))</f>
        <v>MAD</v>
      </c>
      <c r="H63" s="19" t="s">
        <v>220</v>
      </c>
      <c r="I63" s="19" t="s">
        <v>220</v>
      </c>
      <c r="J63" s="19" t="s">
        <v>211</v>
      </c>
      <c r="K63" s="19" t="s">
        <v>276</v>
      </c>
      <c r="L63" s="20">
        <v>3500</v>
      </c>
      <c r="M63" s="20">
        <f t="shared" si="2"/>
        <v>880</v>
      </c>
      <c r="N63" s="20">
        <f t="shared" si="3"/>
        <v>3520</v>
      </c>
      <c r="O63" s="20">
        <v>5000</v>
      </c>
      <c r="P63" s="19" t="str">
        <f>IF($O63&lt;Configuración!$B$7,"NO","SI")</f>
        <v>SI</v>
      </c>
      <c r="Q63" s="20">
        <f>IF($P63="NO","NO APLICA",MAX(CEILING(($O63*(1-Configuración!$B$2))/Configuración!$B$3,Configuración!$B$6),Configuración!$B$5))</f>
        <v>500</v>
      </c>
      <c r="R63" s="20">
        <f>IF($Q63="NO APLICA","NO APLICA",$Q63*Configuración!$B$3)</f>
        <v>4000</v>
      </c>
      <c r="S63" s="19" t="str">
        <f>IF($O63&lt;Configuración!$B$8,"NO","SI")</f>
        <v>SI</v>
      </c>
      <c r="T63" s="20">
        <f>IF($S63="NO","NO APLICA",MAX(CEILING(($O63*(1-Configuración!$B$2))/Configuración!$B$4,Configuración!$B$6),Configuración!$B$5))</f>
        <v>340</v>
      </c>
      <c r="U63" s="20">
        <f>IF($T63="NO APLICA","NO APLICA",$T63*Configuración!$B$4)</f>
        <v>4080</v>
      </c>
      <c r="V63" s="20">
        <f>MAX(CEILING($O63/Configuración!$B$9,Configuración!$B$6),Configuración!$B$5)</f>
        <v>100</v>
      </c>
      <c r="W63" s="19" t="s">
        <v>277</v>
      </c>
      <c r="X63" s="33">
        <v>46079</v>
      </c>
      <c r="Y63" s="17"/>
    </row>
    <row r="64" spans="1:25" ht="15.6" x14ac:dyDescent="0.3">
      <c r="A64" s="19" t="str">
        <f>IF(OR(E64="",F64="",G64=""),"",E64&amp;"-"&amp;F64&amp;"-"&amp;G64&amp;"-"&amp;TEXT(COUNTIFS($E$2:E64,E64,$F$2:F64,F64,$G$2:G64,G64),"000"))</f>
        <v>MOB-CAJ-MAD-004</v>
      </c>
      <c r="B64" s="19" t="s">
        <v>19</v>
      </c>
      <c r="C64" s="19" t="s">
        <v>385</v>
      </c>
      <c r="D64" s="19" t="s">
        <v>209</v>
      </c>
      <c r="E64" s="19" t="str">
        <f>_xlfn.XLOOKUP(B64,Configuración!A:A,Configuración!B:B,"")</f>
        <v>MOB</v>
      </c>
      <c r="F64" s="19" t="str" cm="1">
        <f t="array" ref="F64">IF($C64="","",_xlfn.XLOOKUP(1,(Configuración!D:D=$B64)*(Configuración!E:E=$C64),Configuración!F:F,""))</f>
        <v>CAJ</v>
      </c>
      <c r="G64" s="19" t="str">
        <f>IF($D64="","",_xlfn.XLOOKUP($D64,Configuración!H:H,Configuración!I:I,""))</f>
        <v>MAD</v>
      </c>
      <c r="H64" s="19" t="s">
        <v>222</v>
      </c>
      <c r="I64" s="19" t="s">
        <v>222</v>
      </c>
      <c r="J64" s="19" t="s">
        <v>211</v>
      </c>
      <c r="K64" s="19" t="s">
        <v>276</v>
      </c>
      <c r="L64" s="20">
        <v>3850</v>
      </c>
      <c r="M64" s="20">
        <f t="shared" si="2"/>
        <v>970</v>
      </c>
      <c r="N64" s="20">
        <f t="shared" si="3"/>
        <v>3880</v>
      </c>
      <c r="O64" s="20">
        <v>5500</v>
      </c>
      <c r="P64" s="19" t="str">
        <f>IF($O64&lt;Configuración!$B$7,"NO","SI")</f>
        <v>SI</v>
      </c>
      <c r="Q64" s="20">
        <f>IF($P64="NO","NO APLICA",MAX(CEILING(($O64*(1-Configuración!$B$2))/Configuración!$B$3,Configuración!$B$6),Configuración!$B$5))</f>
        <v>550</v>
      </c>
      <c r="R64" s="20">
        <f>IF($Q64="NO APLICA","NO APLICA",$Q64*Configuración!$B$3)</f>
        <v>4400</v>
      </c>
      <c r="S64" s="19" t="str">
        <f>IF($O64&lt;Configuración!$B$8,"NO","SI")</f>
        <v>SI</v>
      </c>
      <c r="T64" s="20">
        <f>IF($S64="NO","NO APLICA",MAX(CEILING(($O64*(1-Configuración!$B$2))/Configuración!$B$4,Configuración!$B$6),Configuración!$B$5))</f>
        <v>370</v>
      </c>
      <c r="U64" s="20">
        <f>IF($T64="NO APLICA","NO APLICA",$T64*Configuración!$B$4)</f>
        <v>4440</v>
      </c>
      <c r="V64" s="20">
        <f>MAX(CEILING($O64/Configuración!$B$9,Configuración!$B$6),Configuración!$B$5)</f>
        <v>110</v>
      </c>
      <c r="W64" s="19" t="s">
        <v>277</v>
      </c>
      <c r="X64" s="33">
        <v>46079</v>
      </c>
      <c r="Y64" s="17"/>
    </row>
    <row r="65" spans="1:25" ht="15.6" x14ac:dyDescent="0.3">
      <c r="A65" s="19" t="str">
        <f>IF(OR(E65="",F65="",G65=""),"",E65&amp;"-"&amp;F65&amp;"-"&amp;G65&amp;"-"&amp;TEXT(COUNTIFS($E$2:E65,E65,$F$2:F65,F65,$G$2:G65,G65),"000"))</f>
        <v>MOB-CAM-TUB-001</v>
      </c>
      <c r="B65" s="19" t="s">
        <v>19</v>
      </c>
      <c r="C65" s="19" t="s">
        <v>375</v>
      </c>
      <c r="D65" s="19" t="s">
        <v>329</v>
      </c>
      <c r="E65" s="19" t="str">
        <f>_xlfn.XLOOKUP(B65,Configuración!A:A,Configuración!B:B,"")</f>
        <v>MOB</v>
      </c>
      <c r="F65" s="19" t="str" cm="1">
        <f t="array" ref="F65">IF($C65="","",_xlfn.XLOOKUP(1,(Configuración!D:D=$B65)*(Configuración!E:E=$C65),Configuración!F:F,""))</f>
        <v>CAM</v>
      </c>
      <c r="G65" s="19" t="str">
        <f>IF($D65="","",_xlfn.XLOOKUP($D65,Configuración!H:H,Configuración!I:I,""))</f>
        <v>TUB</v>
      </c>
      <c r="H65" s="19" t="s">
        <v>182</v>
      </c>
      <c r="I65" s="19" t="s">
        <v>182</v>
      </c>
      <c r="J65" s="19" t="s">
        <v>156</v>
      </c>
      <c r="K65" s="19" t="s">
        <v>276</v>
      </c>
      <c r="L65" s="20">
        <v>3150</v>
      </c>
      <c r="M65" s="20">
        <f t="shared" si="2"/>
        <v>790</v>
      </c>
      <c r="N65" s="20">
        <f t="shared" si="3"/>
        <v>3160</v>
      </c>
      <c r="O65" s="20">
        <v>4500</v>
      </c>
      <c r="P65" s="19" t="str">
        <f>IF($O65&lt;Configuración!$B$7,"NO","SI")</f>
        <v>SI</v>
      </c>
      <c r="Q65" s="20">
        <f>IF($P65="NO","NO APLICA",MAX(CEILING(($O65*(1-Configuración!$B$2))/Configuración!$B$3,Configuración!$B$6),Configuración!$B$5))</f>
        <v>450</v>
      </c>
      <c r="R65" s="20">
        <f>IF($Q65="NO APLICA","NO APLICA",$Q65*Configuración!$B$3)</f>
        <v>3600</v>
      </c>
      <c r="S65" s="19" t="str">
        <f>IF($O65&lt;Configuración!$B$8,"NO","SI")</f>
        <v>SI</v>
      </c>
      <c r="T65" s="20">
        <f>IF($S65="NO","NO APLICA",MAX(CEILING(($O65*(1-Configuración!$B$2))/Configuración!$B$4,Configuración!$B$6),Configuración!$B$5))</f>
        <v>300</v>
      </c>
      <c r="U65" s="20">
        <f>IF($T65="NO APLICA","NO APLICA",$T65*Configuración!$B$4)</f>
        <v>3600</v>
      </c>
      <c r="V65" s="20">
        <f>MAX(CEILING($O65/Configuración!$B$9,Configuración!$B$6),Configuración!$B$5)</f>
        <v>100</v>
      </c>
      <c r="W65" s="19" t="s">
        <v>277</v>
      </c>
      <c r="X65" s="33">
        <v>46079</v>
      </c>
      <c r="Y65" s="17"/>
    </row>
    <row r="66" spans="1:25" ht="15.6" x14ac:dyDescent="0.3">
      <c r="A66" s="19" t="str">
        <f>IF(OR(E66="",F66="",G66=""),"",E66&amp;"-"&amp;F66&amp;"-"&amp;G66&amp;"-"&amp;TEXT(COUNTIFS($E$2:E66,E66,$F$2:F66,F66,$G$2:G66,G66),"000"))</f>
        <v>MOB-CAM-TUB-002</v>
      </c>
      <c r="B66" s="19" t="s">
        <v>19</v>
      </c>
      <c r="C66" s="19" t="s">
        <v>375</v>
      </c>
      <c r="D66" s="19" t="s">
        <v>329</v>
      </c>
      <c r="E66" s="19" t="str">
        <f>_xlfn.XLOOKUP(B66,Configuración!A:A,Configuración!B:B,"")</f>
        <v>MOB</v>
      </c>
      <c r="F66" s="19" t="str" cm="1">
        <f t="array" ref="F66">IF($C66="","",_xlfn.XLOOKUP(1,(Configuración!D:D=$B66)*(Configuración!E:E=$C66),Configuración!F:F,""))</f>
        <v>CAM</v>
      </c>
      <c r="G66" s="19" t="str">
        <f>IF($D66="","",_xlfn.XLOOKUP($D66,Configuración!H:H,Configuración!I:I,""))</f>
        <v>TUB</v>
      </c>
      <c r="H66" s="19" t="s">
        <v>181</v>
      </c>
      <c r="I66" s="19" t="s">
        <v>181</v>
      </c>
      <c r="J66" s="19" t="s">
        <v>156</v>
      </c>
      <c r="K66" s="19" t="s">
        <v>276</v>
      </c>
      <c r="L66" s="20">
        <v>3500</v>
      </c>
      <c r="M66" s="20">
        <f t="shared" ref="M66:M97" si="4">MAX(CEILING(L66/4,10),100)</f>
        <v>880</v>
      </c>
      <c r="N66" s="20">
        <f t="shared" ref="N66:N97" si="5">M66*4</f>
        <v>3520</v>
      </c>
      <c r="O66" s="20">
        <v>5000</v>
      </c>
      <c r="P66" s="19" t="str">
        <f>IF($O66&lt;Configuración!$B$7,"NO","SI")</f>
        <v>SI</v>
      </c>
      <c r="Q66" s="20">
        <f>IF($P66="NO","NO APLICA",MAX(CEILING(($O66*(1-Configuración!$B$2))/Configuración!$B$3,Configuración!$B$6),Configuración!$B$5))</f>
        <v>500</v>
      </c>
      <c r="R66" s="20">
        <f>IF($Q66="NO APLICA","NO APLICA",$Q66*Configuración!$B$3)</f>
        <v>4000</v>
      </c>
      <c r="S66" s="19" t="str">
        <f>IF($O66&lt;Configuración!$B$8,"NO","SI")</f>
        <v>SI</v>
      </c>
      <c r="T66" s="20">
        <f>IF($S66="NO","NO APLICA",MAX(CEILING(($O66*(1-Configuración!$B$2))/Configuración!$B$4,Configuración!$B$6),Configuración!$B$5))</f>
        <v>340</v>
      </c>
      <c r="U66" s="20">
        <f>IF($T66="NO APLICA","NO APLICA",$T66*Configuración!$B$4)</f>
        <v>4080</v>
      </c>
      <c r="V66" s="20">
        <f>MAX(CEILING($O66/Configuración!$B$9,Configuración!$B$6),Configuración!$B$5)</f>
        <v>100</v>
      </c>
      <c r="W66" s="19" t="s">
        <v>277</v>
      </c>
      <c r="X66" s="33">
        <v>46079</v>
      </c>
      <c r="Y66" s="17"/>
    </row>
    <row r="67" spans="1:25" ht="15.6" x14ac:dyDescent="0.3">
      <c r="A67" s="19" t="str">
        <f>IF(OR(E67="",F67="",G67=""),"",E67&amp;"-"&amp;F67&amp;"-"&amp;G67&amp;"-"&amp;TEXT(COUNTIFS($E$2:E67,E67,$F$2:F67,F67,$G$2:G67,G67),"000"))</f>
        <v/>
      </c>
      <c r="B67" s="19" t="s">
        <v>19</v>
      </c>
      <c r="C67" s="19" t="s">
        <v>352</v>
      </c>
      <c r="D67" s="19" t="s">
        <v>329</v>
      </c>
      <c r="E67" s="19" t="str">
        <f>_xlfn.XLOOKUP(B67,Configuración!A:A,Configuración!B:B,"")</f>
        <v>MOB</v>
      </c>
      <c r="F67" s="19" t="str" cm="1">
        <f t="array" ref="F67">IF($C67="","",_xlfn.XLOOKUP(1,(Configuración!D:D=$B67)*(Configuración!E:E=$C67),Configuración!F:F,""))</f>
        <v/>
      </c>
      <c r="G67" s="19" t="str">
        <f>IF($D67="","",_xlfn.XLOOKUP($D67,Configuración!H:H,Configuración!I:I,""))</f>
        <v>TUB</v>
      </c>
      <c r="H67" s="19" t="s">
        <v>499</v>
      </c>
      <c r="I67" s="19" t="s">
        <v>499</v>
      </c>
      <c r="J67" s="19" t="s">
        <v>156</v>
      </c>
      <c r="K67" s="19"/>
      <c r="L67" s="20">
        <v>7700</v>
      </c>
      <c r="M67" s="20">
        <f t="shared" si="4"/>
        <v>1930</v>
      </c>
      <c r="N67" s="20">
        <f t="shared" si="5"/>
        <v>7720</v>
      </c>
      <c r="O67" s="20">
        <v>10995</v>
      </c>
      <c r="P67" s="19" t="str">
        <f>IF($O67&lt;Configuración!$B$7,"NO","SI")</f>
        <v>SI</v>
      </c>
      <c r="Q67" s="20">
        <f>IF($P67="NO","NO APLICA",MAX(CEILING(($O67*(1-Configuración!$B$2))/Configuración!$B$3,Configuración!$B$6),Configuración!$B$5))</f>
        <v>1100</v>
      </c>
      <c r="R67" s="20">
        <f>IF($Q67="NO APLICA","NO APLICA",$Q67*Configuración!$B$3)</f>
        <v>8800</v>
      </c>
      <c r="S67" s="19" t="str">
        <f>IF($O67&lt;Configuración!$B$8,"NO","SI")</f>
        <v>SI</v>
      </c>
      <c r="T67" s="20">
        <f>IF($S67="NO","NO APLICA",MAX(CEILING(($O67*(1-Configuración!$B$2))/Configuración!$B$4,Configuración!$B$6),Configuración!$B$5))</f>
        <v>740</v>
      </c>
      <c r="U67" s="20">
        <f>IF($T67="NO APLICA","NO APLICA",$T67*Configuración!$B$4)</f>
        <v>8880</v>
      </c>
      <c r="V67" s="20">
        <f>MAX(CEILING($O67/Configuración!$B$9,Configuración!$B$6),Configuración!$B$5)</f>
        <v>220</v>
      </c>
      <c r="W67" s="19"/>
      <c r="X67" s="33"/>
      <c r="Y67" s="17"/>
    </row>
    <row r="68" spans="1:25" ht="15.6" x14ac:dyDescent="0.3">
      <c r="A68" s="19" t="str">
        <f>IF(OR(E68="",F68="",G68=""),"",E68&amp;"-"&amp;F68&amp;"-"&amp;G68&amp;"-"&amp;TEXT(COUNTIFS($E$2:E68,E68,$F$2:F68,F68,$G$2:G68,G68),"000"))</f>
        <v>COC-CAZ-ALU-001</v>
      </c>
      <c r="B68" s="19" t="s">
        <v>18</v>
      </c>
      <c r="C68" s="19" t="s">
        <v>374</v>
      </c>
      <c r="D68" s="19" t="s">
        <v>358</v>
      </c>
      <c r="E68" s="19" t="str">
        <f>_xlfn.XLOOKUP(B68,Configuración!A:A,Configuración!B:B,"")</f>
        <v>COC</v>
      </c>
      <c r="F68" s="19" t="str" cm="1">
        <f t="array" ref="F68">IF($C68="","",_xlfn.XLOOKUP(1,(Configuración!D:D=$B68)*(Configuración!E:E=$C68),Configuración!F:F,""))</f>
        <v>CAZ</v>
      </c>
      <c r="G68" s="19" t="str">
        <f>IF($D68="","",_xlfn.XLOOKUP($D68,Configuración!H:H,Configuración!I:I,""))</f>
        <v>ALU</v>
      </c>
      <c r="H68" s="19" t="s">
        <v>57</v>
      </c>
      <c r="I68" s="19" t="s">
        <v>57</v>
      </c>
      <c r="J68" s="19" t="s">
        <v>34</v>
      </c>
      <c r="K68" s="19" t="s">
        <v>498</v>
      </c>
      <c r="L68" s="20">
        <v>2450</v>
      </c>
      <c r="M68" s="20">
        <f t="shared" si="4"/>
        <v>620</v>
      </c>
      <c r="N68" s="20">
        <f t="shared" si="5"/>
        <v>2480</v>
      </c>
      <c r="O68" s="20">
        <v>3500</v>
      </c>
      <c r="P68" s="19" t="str">
        <f>IF($O68&lt;Configuración!$B$7,"NO","SI")</f>
        <v>SI</v>
      </c>
      <c r="Q68" s="20">
        <f>IF($P68="NO","NO APLICA",MAX(CEILING(($O68*(1-Configuración!$B$2))/Configuración!$B$3,Configuración!$B$6),Configuración!$B$5))</f>
        <v>350</v>
      </c>
      <c r="R68" s="20">
        <f>IF($Q68="NO APLICA","NO APLICA",$Q68*Configuración!$B$3)</f>
        <v>2800</v>
      </c>
      <c r="S68" s="19" t="str">
        <f>IF($O68&lt;Configuración!$B$8,"NO","SI")</f>
        <v>SI</v>
      </c>
      <c r="T68" s="20">
        <f>IF($S68="NO","NO APLICA",MAX(CEILING(($O68*(1-Configuración!$B$2))/Configuración!$B$4,Configuración!$B$6),Configuración!$B$5))</f>
        <v>240</v>
      </c>
      <c r="U68" s="20">
        <f>IF($T68="NO APLICA","NO APLICA",$T68*Configuración!$B$4)</f>
        <v>2880</v>
      </c>
      <c r="V68" s="20">
        <f>MAX(CEILING($O68/Configuración!$B$9,Configuración!$B$6),Configuración!$B$5)</f>
        <v>100</v>
      </c>
      <c r="W68" s="19" t="s">
        <v>277</v>
      </c>
      <c r="X68" s="33">
        <v>46079</v>
      </c>
      <c r="Y68" s="17"/>
    </row>
    <row r="69" spans="1:25" ht="15.6" x14ac:dyDescent="0.3">
      <c r="A69" s="19" t="str">
        <f>IF(OR(E69="",F69="",G69=""),"",E69&amp;"-"&amp;F69&amp;"-"&amp;G69&amp;"-"&amp;TEXT(COUNTIFS($E$2:E69,E69,$F$2:F69,F69,$G$2:G69,G69),"000"))</f>
        <v>COC-CAZ-TF-001</v>
      </c>
      <c r="B69" s="19" t="s">
        <v>18</v>
      </c>
      <c r="C69" s="19" t="s">
        <v>374</v>
      </c>
      <c r="D69" s="19" t="s">
        <v>365</v>
      </c>
      <c r="E69" s="19" t="str">
        <f>_xlfn.XLOOKUP(B69,Configuración!A:A,Configuración!B:B,"")</f>
        <v>COC</v>
      </c>
      <c r="F69" s="19" t="str" cm="1">
        <f t="array" ref="F69">IF($C69="","",_xlfn.XLOOKUP(1,(Configuración!D:D=$B69)*(Configuración!E:E=$C69),Configuración!F:F,""))</f>
        <v>CAZ</v>
      </c>
      <c r="G69" s="19" t="str">
        <f>IF($D69="","",_xlfn.XLOOKUP($D69,Configuración!H:H,Configuración!I:I,""))</f>
        <v>TF</v>
      </c>
      <c r="H69" s="19" t="s">
        <v>56</v>
      </c>
      <c r="I69" s="19" t="s">
        <v>56</v>
      </c>
      <c r="J69" s="19" t="s">
        <v>34</v>
      </c>
      <c r="K69" s="19" t="s">
        <v>498</v>
      </c>
      <c r="L69" s="20">
        <v>4200</v>
      </c>
      <c r="M69" s="20">
        <f t="shared" si="4"/>
        <v>1050</v>
      </c>
      <c r="N69" s="20">
        <f t="shared" si="5"/>
        <v>4200</v>
      </c>
      <c r="O69" s="20">
        <v>6000</v>
      </c>
      <c r="P69" s="19" t="str">
        <f>IF($O69&lt;Configuración!$B$7,"NO","SI")</f>
        <v>SI</v>
      </c>
      <c r="Q69" s="20">
        <f>IF($P69="NO","NO APLICA",MAX(CEILING(($O69*(1-Configuración!$B$2))/Configuración!$B$3,Configuración!$B$6),Configuración!$B$5))</f>
        <v>600</v>
      </c>
      <c r="R69" s="20">
        <f>IF($Q69="NO APLICA","NO APLICA",$Q69*Configuración!$B$3)</f>
        <v>4800</v>
      </c>
      <c r="S69" s="19" t="str">
        <f>IF($O69&lt;Configuración!$B$8,"NO","SI")</f>
        <v>SI</v>
      </c>
      <c r="T69" s="20">
        <f>IF($S69="NO","NO APLICA",MAX(CEILING(($O69*(1-Configuración!$B$2))/Configuración!$B$4,Configuración!$B$6),Configuración!$B$5))</f>
        <v>400</v>
      </c>
      <c r="U69" s="20">
        <f>IF($T69="NO APLICA","NO APLICA",$T69*Configuración!$B$4)</f>
        <v>4800</v>
      </c>
      <c r="V69" s="20">
        <f>MAX(CEILING($O69/Configuración!$B$9,Configuración!$B$6),Configuración!$B$5)</f>
        <v>120</v>
      </c>
      <c r="W69" s="19" t="s">
        <v>277</v>
      </c>
      <c r="X69" s="33">
        <v>46079</v>
      </c>
      <c r="Y69" s="17"/>
    </row>
    <row r="70" spans="1:25" ht="15.6" x14ac:dyDescent="0.3">
      <c r="A70" s="19" t="str">
        <f>IF(OR(E70="",F70="",G70=""),"",E70&amp;"-"&amp;F70&amp;"-"&amp;G70&amp;"-"&amp;TEXT(COUNTIFS($E$2:E70,E70,$F$2:F70,F70,$G$2:G70,G70),"000"))</f>
        <v>COC-CAZ-TF-002</v>
      </c>
      <c r="B70" s="19" t="s">
        <v>18</v>
      </c>
      <c r="C70" s="19" t="s">
        <v>374</v>
      </c>
      <c r="D70" s="19" t="s">
        <v>365</v>
      </c>
      <c r="E70" s="19" t="str">
        <f>_xlfn.XLOOKUP(B70,Configuración!A:A,Configuración!B:B,"")</f>
        <v>COC</v>
      </c>
      <c r="F70" s="19" t="str" cm="1">
        <f t="array" ref="F70">IF($C70="","",_xlfn.XLOOKUP(1,(Configuración!D:D=$B70)*(Configuración!E:E=$C70),Configuración!F:F,""))</f>
        <v>CAZ</v>
      </c>
      <c r="G70" s="19" t="str">
        <f>IF($D70="","",_xlfn.XLOOKUP($D70,Configuración!H:H,Configuración!I:I,""))</f>
        <v>TF</v>
      </c>
      <c r="H70" s="19" t="s">
        <v>68</v>
      </c>
      <c r="I70" s="19" t="s">
        <v>68</v>
      </c>
      <c r="J70" s="19" t="s">
        <v>34</v>
      </c>
      <c r="K70" s="19" t="s">
        <v>498</v>
      </c>
      <c r="L70" s="20">
        <v>2100</v>
      </c>
      <c r="M70" s="20">
        <f t="shared" si="4"/>
        <v>530</v>
      </c>
      <c r="N70" s="20">
        <f t="shared" si="5"/>
        <v>2120</v>
      </c>
      <c r="O70" s="20">
        <v>3000</v>
      </c>
      <c r="P70" s="19" t="str">
        <f>IF($O70&lt;Configuración!$B$7,"NO","SI")</f>
        <v>SI</v>
      </c>
      <c r="Q70" s="20">
        <f>IF($P70="NO","NO APLICA",MAX(CEILING(($O70*(1-Configuración!$B$2))/Configuración!$B$3,Configuración!$B$6),Configuración!$B$5))</f>
        <v>300</v>
      </c>
      <c r="R70" s="20">
        <f>IF($Q70="NO APLICA","NO APLICA",$Q70*Configuración!$B$3)</f>
        <v>2400</v>
      </c>
      <c r="S70" s="19" t="str">
        <f>IF($O70&lt;Configuración!$B$8,"NO","SI")</f>
        <v>SI</v>
      </c>
      <c r="T70" s="20">
        <f>IF($S70="NO","NO APLICA",MAX(CEILING(($O70*(1-Configuración!$B$2))/Configuración!$B$4,Configuración!$B$6),Configuración!$B$5))</f>
        <v>200</v>
      </c>
      <c r="U70" s="20">
        <f>IF($T70="NO APLICA","NO APLICA",$T70*Configuración!$B$4)</f>
        <v>2400</v>
      </c>
      <c r="V70" s="20">
        <f>MAX(CEILING($O70/Configuración!$B$9,Configuración!$B$6),Configuración!$B$5)</f>
        <v>100</v>
      </c>
      <c r="W70" s="19" t="s">
        <v>277</v>
      </c>
      <c r="X70" s="33">
        <v>46079</v>
      </c>
      <c r="Y70" s="17"/>
    </row>
    <row r="71" spans="1:25" ht="15.6" x14ac:dyDescent="0.3">
      <c r="A71" s="19" t="str">
        <f>IF(OR(E71="",F71="",G71=""),"",E71&amp;"-"&amp;F71&amp;"-"&amp;G71&amp;"-"&amp;TEXT(COUNTIFS($E$2:E71,E71,$F$2:F71,F71,$G$2:G71,G71),"000"))</f>
        <v>COC-CAZ-ALU-002</v>
      </c>
      <c r="B71" s="19" t="s">
        <v>18</v>
      </c>
      <c r="C71" s="19" t="s">
        <v>374</v>
      </c>
      <c r="D71" s="19" t="s">
        <v>358</v>
      </c>
      <c r="E71" s="19" t="str">
        <f>_xlfn.XLOOKUP(B71,Configuración!A:A,Configuración!B:B,"")</f>
        <v>COC</v>
      </c>
      <c r="F71" s="19" t="str" cm="1">
        <f t="array" ref="F71">IF($C71="","",_xlfn.XLOOKUP(1,(Configuración!D:D=$B71)*(Configuración!E:E=$C71),Configuración!F:F,""))</f>
        <v>CAZ</v>
      </c>
      <c r="G71" s="19" t="str">
        <f>IF($D71="","",_xlfn.XLOOKUP($D71,Configuración!H:H,Configuración!I:I,""))</f>
        <v>ALU</v>
      </c>
      <c r="H71" s="19" t="s">
        <v>52</v>
      </c>
      <c r="I71" s="19" t="s">
        <v>443</v>
      </c>
      <c r="J71" s="19" t="s">
        <v>34</v>
      </c>
      <c r="K71" s="19" t="s">
        <v>511</v>
      </c>
      <c r="L71" s="20">
        <v>1260</v>
      </c>
      <c r="M71" s="20">
        <f t="shared" si="4"/>
        <v>320</v>
      </c>
      <c r="N71" s="20">
        <f t="shared" si="5"/>
        <v>1280</v>
      </c>
      <c r="O71" s="20">
        <v>1800</v>
      </c>
      <c r="P71" s="19" t="str">
        <f>IF($O71&lt;Configuración!$B$7,"NO","SI")</f>
        <v>NO</v>
      </c>
      <c r="Q71" s="20" t="str">
        <f>IF($P71="NO","NO APLICA",MAX(CEILING(($O71*(1-Configuración!$B$2))/Configuración!$B$3,Configuración!$B$6),Configuración!$B$5))</f>
        <v>NO APLICA</v>
      </c>
      <c r="R71" s="20" t="str">
        <f>IF($Q71="NO APLICA","NO APLICA",$Q71*Configuración!$B$3)</f>
        <v>NO APLICA</v>
      </c>
      <c r="S71" s="19" t="str">
        <f>IF($O71&lt;Configuración!$B$8,"NO","SI")</f>
        <v>NO</v>
      </c>
      <c r="T71" s="20" t="str">
        <f>IF($S71="NO","NO APLICA",MAX(CEILING(($O71*(1-Configuración!$B$2))/Configuración!$B$4,Configuración!$B$6),Configuración!$B$5))</f>
        <v>NO APLICA</v>
      </c>
      <c r="U71" s="20" t="str">
        <f>IF($T71="NO APLICA","NO APLICA",$T71*Configuración!$B$4)</f>
        <v>NO APLICA</v>
      </c>
      <c r="V71" s="20">
        <f>MAX(CEILING($O71/Configuración!$B$9,Configuración!$B$6),Configuración!$B$5)</f>
        <v>100</v>
      </c>
      <c r="W71" s="19" t="s">
        <v>277</v>
      </c>
      <c r="X71" s="33">
        <v>46079</v>
      </c>
      <c r="Y71" s="17"/>
    </row>
    <row r="72" spans="1:25" ht="15.6" x14ac:dyDescent="0.3">
      <c r="A72" s="19" t="str">
        <f>IF(OR(E72="",F72="",G72=""),"",E72&amp;"-"&amp;F72&amp;"-"&amp;G72&amp;"-"&amp;TEXT(COUNTIFS($E$2:E72,E72,$F$2:F72,F72,$G$2:G72,G72),"000"))</f>
        <v>COC-CAZ-ALU-003</v>
      </c>
      <c r="B72" s="19" t="s">
        <v>18</v>
      </c>
      <c r="C72" s="19" t="s">
        <v>374</v>
      </c>
      <c r="D72" s="19" t="s">
        <v>358</v>
      </c>
      <c r="E72" s="19" t="str">
        <f>_xlfn.XLOOKUP(B72,Configuración!A:A,Configuración!B:B,"")</f>
        <v>COC</v>
      </c>
      <c r="F72" s="19" t="str" cm="1">
        <f t="array" ref="F72">IF($C72="","",_xlfn.XLOOKUP(1,(Configuración!D:D=$B72)*(Configuración!E:E=$C72),Configuración!F:F,""))</f>
        <v>CAZ</v>
      </c>
      <c r="G72" s="19" t="str">
        <f>IF($D72="","",_xlfn.XLOOKUP($D72,Configuración!H:H,Configuración!I:I,""))</f>
        <v>ALU</v>
      </c>
      <c r="H72" s="19" t="s">
        <v>53</v>
      </c>
      <c r="I72" s="19" t="s">
        <v>53</v>
      </c>
      <c r="J72" s="19" t="s">
        <v>34</v>
      </c>
      <c r="K72" s="19" t="s">
        <v>511</v>
      </c>
      <c r="L72" s="20">
        <v>1540</v>
      </c>
      <c r="M72" s="20">
        <f t="shared" si="4"/>
        <v>390</v>
      </c>
      <c r="N72" s="20">
        <f t="shared" si="5"/>
        <v>1560</v>
      </c>
      <c r="O72" s="20">
        <v>2200</v>
      </c>
      <c r="P72" s="19" t="str">
        <f>IF($O72&lt;Configuración!$B$7,"NO","SI")</f>
        <v>SI</v>
      </c>
      <c r="Q72" s="20">
        <f>IF($P72="NO","NO APLICA",MAX(CEILING(($O72*(1-Configuración!$B$2))/Configuración!$B$3,Configuración!$B$6),Configuración!$B$5))</f>
        <v>220</v>
      </c>
      <c r="R72" s="20">
        <f>IF($Q72="NO APLICA","NO APLICA",$Q72*Configuración!$B$3)</f>
        <v>1760</v>
      </c>
      <c r="S72" s="19" t="str">
        <f>IF($O72&lt;Configuración!$B$8,"NO","SI")</f>
        <v>NO</v>
      </c>
      <c r="T72" s="20" t="str">
        <f>IF($S72="NO","NO APLICA",MAX(CEILING(($O72*(1-Configuración!$B$2))/Configuración!$B$4,Configuración!$B$6),Configuración!$B$5))</f>
        <v>NO APLICA</v>
      </c>
      <c r="U72" s="20" t="str">
        <f>IF($T72="NO APLICA","NO APLICA",$T72*Configuración!$B$4)</f>
        <v>NO APLICA</v>
      </c>
      <c r="V72" s="20">
        <f>MAX(CEILING($O72/Configuración!$B$9,Configuración!$B$6),Configuración!$B$5)</f>
        <v>100</v>
      </c>
      <c r="W72" s="19" t="s">
        <v>277</v>
      </c>
      <c r="X72" s="33">
        <v>46079</v>
      </c>
      <c r="Y72" s="17"/>
    </row>
    <row r="73" spans="1:25" ht="15.6" x14ac:dyDescent="0.3">
      <c r="A73" s="19" t="str">
        <f>IF(OR(E73="",F73="",G73=""),"",E73&amp;"-"&amp;F73&amp;"-"&amp;G73&amp;"-"&amp;TEXT(COUNTIFS($E$2:E73,E73,$F$2:F73,F73,$G$2:G73,G73),"000"))</f>
        <v>MOB-CAJ-MAD-005</v>
      </c>
      <c r="B73" s="19" t="s">
        <v>19</v>
      </c>
      <c r="C73" s="19" t="s">
        <v>385</v>
      </c>
      <c r="D73" s="19" t="s">
        <v>209</v>
      </c>
      <c r="E73" s="19" t="str">
        <f>_xlfn.XLOOKUP(B73,Configuración!A:A,Configuración!B:B,"")</f>
        <v>MOB</v>
      </c>
      <c r="F73" s="19" t="str" cm="1">
        <f t="array" ref="F73">IF($C73="","",_xlfn.XLOOKUP(1,(Configuración!D:D=$B73)*(Configuración!E:E=$C73),Configuración!F:F,""))</f>
        <v>CAJ</v>
      </c>
      <c r="G73" s="19" t="str">
        <f>IF($D73="","",_xlfn.XLOOKUP($D73,Configuración!H:H,Configuración!I:I,""))</f>
        <v>MAD</v>
      </c>
      <c r="H73" s="19" t="s">
        <v>225</v>
      </c>
      <c r="I73" s="19" t="s">
        <v>225</v>
      </c>
      <c r="J73" s="19" t="s">
        <v>211</v>
      </c>
      <c r="K73" s="19" t="s">
        <v>276</v>
      </c>
      <c r="L73" s="20">
        <v>6230</v>
      </c>
      <c r="M73" s="20">
        <f t="shared" si="4"/>
        <v>1560</v>
      </c>
      <c r="N73" s="20">
        <f t="shared" si="5"/>
        <v>6240</v>
      </c>
      <c r="O73" s="20">
        <v>8900</v>
      </c>
      <c r="P73" s="19" t="str">
        <f>IF($O73&lt;Configuración!$B$7,"NO","SI")</f>
        <v>SI</v>
      </c>
      <c r="Q73" s="20">
        <f>IF($P73="NO","NO APLICA",MAX(CEILING(($O73*(1-Configuración!$B$2))/Configuración!$B$3,Configuración!$B$6),Configuración!$B$5))</f>
        <v>890</v>
      </c>
      <c r="R73" s="20">
        <f>IF($Q73="NO APLICA","NO APLICA",$Q73*Configuración!$B$3)</f>
        <v>7120</v>
      </c>
      <c r="S73" s="19" t="str">
        <f>IF($O73&lt;Configuración!$B$8,"NO","SI")</f>
        <v>SI</v>
      </c>
      <c r="T73" s="20">
        <f>IF($S73="NO","NO APLICA",MAX(CEILING(($O73*(1-Configuración!$B$2))/Configuración!$B$4,Configuración!$B$6),Configuración!$B$5))</f>
        <v>600</v>
      </c>
      <c r="U73" s="20">
        <f>IF($T73="NO APLICA","NO APLICA",$T73*Configuración!$B$4)</f>
        <v>7200</v>
      </c>
      <c r="V73" s="20">
        <f>MAX(CEILING($O73/Configuración!$B$9,Configuración!$B$6),Configuración!$B$5)</f>
        <v>180</v>
      </c>
      <c r="W73" s="19" t="s">
        <v>277</v>
      </c>
      <c r="X73" s="33">
        <v>46079</v>
      </c>
      <c r="Y73" s="17"/>
    </row>
    <row r="74" spans="1:25" ht="15.6" x14ac:dyDescent="0.3">
      <c r="A74" s="19" t="str">
        <f>IF(OR(E74="",F74="",G74=""),"",E74&amp;"-"&amp;F74&amp;"-"&amp;G74&amp;"-"&amp;TEXT(COUNTIFS($E$2:E74,E74,$F$2:F74,F74,$G$2:G74,G74),"000"))</f>
        <v>MOB-CLO-MAD-001</v>
      </c>
      <c r="B74" s="19" t="s">
        <v>19</v>
      </c>
      <c r="C74" s="19" t="s">
        <v>383</v>
      </c>
      <c r="D74" s="19" t="s">
        <v>209</v>
      </c>
      <c r="E74" s="19" t="str">
        <f>_xlfn.XLOOKUP(B74,Configuración!A:A,Configuración!B:B,"")</f>
        <v>MOB</v>
      </c>
      <c r="F74" s="19" t="str" cm="1">
        <f t="array" ref="F74">IF($C74="","",_xlfn.XLOOKUP(1,(Configuración!D:D=$B74)*(Configuración!E:E=$C74),Configuración!F:F,""))</f>
        <v>CLO</v>
      </c>
      <c r="G74" s="19" t="str">
        <f>IF($D74="","",_xlfn.XLOOKUP($D74,Configuración!H:H,Configuración!I:I,""))</f>
        <v>MAD</v>
      </c>
      <c r="H74" s="19" t="s">
        <v>214</v>
      </c>
      <c r="I74" s="19" t="s">
        <v>214</v>
      </c>
      <c r="J74" s="19" t="s">
        <v>211</v>
      </c>
      <c r="K74" s="19" t="s">
        <v>276</v>
      </c>
      <c r="L74" s="20">
        <v>8750</v>
      </c>
      <c r="M74" s="20">
        <f t="shared" si="4"/>
        <v>2190</v>
      </c>
      <c r="N74" s="20">
        <f t="shared" si="5"/>
        <v>8760</v>
      </c>
      <c r="O74" s="20">
        <v>12500</v>
      </c>
      <c r="P74" s="19" t="str">
        <f>IF($O74&lt;Configuración!$B$7,"NO","SI")</f>
        <v>SI</v>
      </c>
      <c r="Q74" s="20">
        <f>IF($P74="NO","NO APLICA",MAX(CEILING(($O74*(1-Configuración!$B$2))/Configuración!$B$3,Configuración!$B$6),Configuración!$B$5))</f>
        <v>1250</v>
      </c>
      <c r="R74" s="20">
        <f>IF($Q74="NO APLICA","NO APLICA",$Q74*Configuración!$B$3)</f>
        <v>10000</v>
      </c>
      <c r="S74" s="19" t="str">
        <f>IF($O74&lt;Configuración!$B$8,"NO","SI")</f>
        <v>SI</v>
      </c>
      <c r="T74" s="20">
        <f>IF($S74="NO","NO APLICA",MAX(CEILING(($O74*(1-Configuración!$B$2))/Configuración!$B$4,Configuración!$B$6),Configuración!$B$5))</f>
        <v>840</v>
      </c>
      <c r="U74" s="20">
        <f>IF($T74="NO APLICA","NO APLICA",$T74*Configuración!$B$4)</f>
        <v>10080</v>
      </c>
      <c r="V74" s="20">
        <f>MAX(CEILING($O74/Configuración!$B$9,Configuración!$B$6),Configuración!$B$5)</f>
        <v>250</v>
      </c>
      <c r="W74" s="19" t="s">
        <v>277</v>
      </c>
      <c r="X74" s="33">
        <v>46079</v>
      </c>
      <c r="Y74" s="17"/>
    </row>
    <row r="75" spans="1:25" ht="15.6" x14ac:dyDescent="0.3">
      <c r="A75" s="19" t="str">
        <f>IF(OR(E75="",F75="",G75=""),"",E75&amp;"-"&amp;F75&amp;"-"&amp;G75&amp;"-"&amp;TEXT(COUNTIFS($E$2:E75,E75,$F$2:F75,F75,$G$2:G75,G75),"000"))</f>
        <v>MOB-CLO-MAD-002</v>
      </c>
      <c r="B75" s="19" t="s">
        <v>19</v>
      </c>
      <c r="C75" s="19" t="s">
        <v>383</v>
      </c>
      <c r="D75" s="19" t="s">
        <v>209</v>
      </c>
      <c r="E75" s="19" t="str">
        <f>_xlfn.XLOOKUP(B75,Configuración!A:A,Configuración!B:B,"")</f>
        <v>MOB</v>
      </c>
      <c r="F75" s="19" t="str" cm="1">
        <f t="array" ref="F75">IF($C75="","",_xlfn.XLOOKUP(1,(Configuración!D:D=$B75)*(Configuración!E:E=$C75),Configuración!F:F,""))</f>
        <v>CLO</v>
      </c>
      <c r="G75" s="19" t="str">
        <f>IF($D75="","",_xlfn.XLOOKUP($D75,Configuración!H:H,Configuración!I:I,""))</f>
        <v>MAD</v>
      </c>
      <c r="H75" s="19" t="s">
        <v>215</v>
      </c>
      <c r="I75" s="19" t="s">
        <v>215</v>
      </c>
      <c r="J75" s="19" t="s">
        <v>211</v>
      </c>
      <c r="K75" s="19" t="s">
        <v>276</v>
      </c>
      <c r="L75" s="20">
        <v>10500</v>
      </c>
      <c r="M75" s="20">
        <f t="shared" si="4"/>
        <v>2630</v>
      </c>
      <c r="N75" s="20">
        <f t="shared" si="5"/>
        <v>10520</v>
      </c>
      <c r="O75" s="20">
        <v>15000</v>
      </c>
      <c r="P75" s="19" t="str">
        <f>IF($O75&lt;Configuración!$B$7,"NO","SI")</f>
        <v>SI</v>
      </c>
      <c r="Q75" s="20">
        <f>IF($P75="NO","NO APLICA",MAX(CEILING(($O75*(1-Configuración!$B$2))/Configuración!$B$3,Configuración!$B$6),Configuración!$B$5))</f>
        <v>1500</v>
      </c>
      <c r="R75" s="20">
        <f>IF($Q75="NO APLICA","NO APLICA",$Q75*Configuración!$B$3)</f>
        <v>12000</v>
      </c>
      <c r="S75" s="19" t="str">
        <f>IF($O75&lt;Configuración!$B$8,"NO","SI")</f>
        <v>SI</v>
      </c>
      <c r="T75" s="20">
        <f>IF($S75="NO","NO APLICA",MAX(CEILING(($O75*(1-Configuración!$B$2))/Configuración!$B$4,Configuración!$B$6),Configuración!$B$5))</f>
        <v>1000</v>
      </c>
      <c r="U75" s="20">
        <f>IF($T75="NO APLICA","NO APLICA",$T75*Configuración!$B$4)</f>
        <v>12000</v>
      </c>
      <c r="V75" s="20">
        <f>MAX(CEILING($O75/Configuración!$B$9,Configuración!$B$6),Configuración!$B$5)</f>
        <v>290</v>
      </c>
      <c r="W75" s="19" t="s">
        <v>277</v>
      </c>
      <c r="X75" s="33">
        <v>46079</v>
      </c>
      <c r="Y75" s="17"/>
    </row>
    <row r="76" spans="1:25" ht="15.6" x14ac:dyDescent="0.3">
      <c r="A76" s="19" t="str">
        <f>IF(OR(E76="",F76="",G76=""),"",E76&amp;"-"&amp;F76&amp;"-"&amp;G76&amp;"-"&amp;TEXT(COUNTIFS($E$2:E76,E76,$F$2:F76,F76,$G$2:G76,G76),"000"))</f>
        <v>MOB-CLO-PSL-001</v>
      </c>
      <c r="B76" s="19" t="s">
        <v>19</v>
      </c>
      <c r="C76" s="19" t="s">
        <v>383</v>
      </c>
      <c r="D76" s="19" t="s">
        <v>328</v>
      </c>
      <c r="E76" s="19" t="str">
        <f>_xlfn.XLOOKUP(B76,Configuración!A:A,Configuración!B:B,"")</f>
        <v>MOB</v>
      </c>
      <c r="F76" s="19" t="str" cm="1">
        <f t="array" ref="F76">IF($C76="","",_xlfn.XLOOKUP(1,(Configuración!D:D=$B76)*(Configuración!E:E=$C76),Configuración!F:F,""))</f>
        <v>CLO</v>
      </c>
      <c r="G76" s="19" t="str">
        <f>IF($D76="","",_xlfn.XLOOKUP($D76,Configuración!H:H,Configuración!I:I,""))</f>
        <v>PSL</v>
      </c>
      <c r="H76" s="19" t="s">
        <v>515</v>
      </c>
      <c r="I76" s="19" t="s">
        <v>515</v>
      </c>
      <c r="J76" s="19"/>
      <c r="K76" s="19"/>
      <c r="L76" s="20">
        <v>3500</v>
      </c>
      <c r="M76" s="20">
        <f t="shared" si="4"/>
        <v>880</v>
      </c>
      <c r="N76" s="20">
        <f t="shared" si="5"/>
        <v>3520</v>
      </c>
      <c r="O76" s="20">
        <v>5000</v>
      </c>
      <c r="P76" s="19" t="str">
        <f>IF($O76&lt;Configuración!$B$7,"NO","SI")</f>
        <v>SI</v>
      </c>
      <c r="Q76" s="20">
        <f>IF($P76="NO","NO APLICA",MAX(CEILING(($O76*(1-Configuración!$B$2))/Configuración!$B$3,Configuración!$B$6),Configuración!$B$5))</f>
        <v>500</v>
      </c>
      <c r="R76" s="20">
        <f>IF($Q76="NO APLICA","NO APLICA",$Q76*Configuración!$B$3)</f>
        <v>4000</v>
      </c>
      <c r="S76" s="19" t="str">
        <f>IF($O76&lt;Configuración!$B$8,"NO","SI")</f>
        <v>SI</v>
      </c>
      <c r="T76" s="20">
        <f>IF($S76="NO","NO APLICA",MAX(CEILING(($O76*(1-Configuración!$B$2))/Configuración!$B$4,Configuración!$B$6),Configuración!$B$5))</f>
        <v>340</v>
      </c>
      <c r="U76" s="20">
        <f>IF($T76="NO APLICA","NO APLICA",$T76*Configuración!$B$4)</f>
        <v>4080</v>
      </c>
      <c r="V76" s="20">
        <f>MAX(CEILING($O76/Configuración!$B$9,Configuración!$B$6),Configuración!$B$5)</f>
        <v>100</v>
      </c>
      <c r="W76" s="19" t="s">
        <v>277</v>
      </c>
      <c r="X76" s="33">
        <v>46103</v>
      </c>
      <c r="Y76" s="17"/>
    </row>
    <row r="77" spans="1:25" ht="15.6" x14ac:dyDescent="0.3">
      <c r="A77" s="19" t="str">
        <f>IF(OR(E77="",F77="",G77=""),"",E77&amp;"-"&amp;F77&amp;"-"&amp;G77&amp;"-"&amp;TEXT(COUNTIFS($E$2:E77,E77,$F$2:F77,F77,$G$2:G77,G77),"000"))</f>
        <v>MOB-CLO-MAD-003</v>
      </c>
      <c r="B77" s="19" t="s">
        <v>19</v>
      </c>
      <c r="C77" s="19" t="s">
        <v>383</v>
      </c>
      <c r="D77" s="19" t="s">
        <v>209</v>
      </c>
      <c r="E77" s="19" t="str">
        <f>_xlfn.XLOOKUP(B77,Configuración!A:A,Configuración!B:B,"")</f>
        <v>MOB</v>
      </c>
      <c r="F77" s="19" t="str" cm="1">
        <f t="array" ref="F77">IF($C77="","",_xlfn.XLOOKUP(1,(Configuración!D:D=$B77)*(Configuración!E:E=$C77),Configuración!F:F,""))</f>
        <v>CLO</v>
      </c>
      <c r="G77" s="19" t="str">
        <f>IF($D77="","",_xlfn.XLOOKUP($D77,Configuración!H:H,Configuración!I:I,""))</f>
        <v>MAD</v>
      </c>
      <c r="H77" s="19" t="s">
        <v>216</v>
      </c>
      <c r="I77" s="19" t="s">
        <v>216</v>
      </c>
      <c r="J77" s="19" t="s">
        <v>211</v>
      </c>
      <c r="K77" s="19" t="s">
        <v>276</v>
      </c>
      <c r="L77" s="20">
        <v>9000</v>
      </c>
      <c r="M77" s="20">
        <f t="shared" si="4"/>
        <v>2250</v>
      </c>
      <c r="N77" s="20">
        <f t="shared" si="5"/>
        <v>9000</v>
      </c>
      <c r="O77" s="20">
        <v>14000</v>
      </c>
      <c r="P77" s="19" t="str">
        <f>IF($O77&lt;Configuración!$B$7,"NO","SI")</f>
        <v>SI</v>
      </c>
      <c r="Q77" s="20">
        <f>IF($P77="NO","NO APLICA",MAX(CEILING(($O77*(1-Configuración!$B$2))/Configuración!$B$3,Configuración!$B$6),Configuración!$B$5))</f>
        <v>1400</v>
      </c>
      <c r="R77" s="20">
        <f>IF($Q77="NO APLICA","NO APLICA",$Q77*Configuración!$B$3)</f>
        <v>11200</v>
      </c>
      <c r="S77" s="19" t="str">
        <f>IF($O77&lt;Configuración!$B$8,"NO","SI")</f>
        <v>SI</v>
      </c>
      <c r="T77" s="20">
        <f>IF($S77="NO","NO APLICA",MAX(CEILING(($O77*(1-Configuración!$B$2))/Configuración!$B$4,Configuración!$B$6),Configuración!$B$5))</f>
        <v>940</v>
      </c>
      <c r="U77" s="20">
        <f>IF($T77="NO APLICA","NO APLICA",$T77*Configuración!$B$4)</f>
        <v>11280</v>
      </c>
      <c r="V77" s="20">
        <f>MAX(CEILING($O77/Configuración!$B$9,Configuración!$B$6),Configuración!$B$5)</f>
        <v>270</v>
      </c>
      <c r="W77" s="19" t="s">
        <v>277</v>
      </c>
      <c r="X77" s="33">
        <v>46079</v>
      </c>
      <c r="Y77" s="17"/>
    </row>
    <row r="78" spans="1:25" ht="15.6" x14ac:dyDescent="0.3">
      <c r="A78" s="19" t="str">
        <f>IF(OR(E78="",F78="",G78=""),"",E78&amp;"-"&amp;F78&amp;"-"&amp;G78&amp;"-"&amp;TEXT(COUNTIFS($E$2:E78,E78,$F$2:F78,F78,$G$2:G78,G78),"000"))</f>
        <v>HOG-FRZ-ALG-001</v>
      </c>
      <c r="B78" s="19" t="s">
        <v>250</v>
      </c>
      <c r="C78" s="19" t="s">
        <v>505</v>
      </c>
      <c r="D78" s="19" t="s">
        <v>507</v>
      </c>
      <c r="E78" s="19" t="str">
        <f>_xlfn.XLOOKUP(B78,Configuración!A:A,Configuración!B:B,"")</f>
        <v>HOG</v>
      </c>
      <c r="F78" s="19" t="str" cm="1">
        <f t="array" ref="F78">IF($C78="","",_xlfn.XLOOKUP(1,(Configuración!D:D=$B78)*(Configuración!E:E=$C78),Configuración!F:F,""))</f>
        <v>FRZ</v>
      </c>
      <c r="G78" s="19" t="str">
        <f>IF($D78="","",_xlfn.XLOOKUP($D78,Configuración!H:H,Configuración!I:I,""))</f>
        <v>ALG</v>
      </c>
      <c r="H78" s="19" t="s">
        <v>502</v>
      </c>
      <c r="I78" s="19" t="s">
        <v>502</v>
      </c>
      <c r="J78" s="19" t="s">
        <v>156</v>
      </c>
      <c r="K78" s="19"/>
      <c r="L78" s="20">
        <v>1050</v>
      </c>
      <c r="M78" s="20">
        <f t="shared" si="4"/>
        <v>270</v>
      </c>
      <c r="N78" s="20">
        <f t="shared" si="5"/>
        <v>1080</v>
      </c>
      <c r="O78" s="20">
        <v>1500</v>
      </c>
      <c r="P78" s="19" t="str">
        <f>IF($O78&lt;Configuración!$B$7,"NO","SI")</f>
        <v>NO</v>
      </c>
      <c r="Q78" s="20" t="str">
        <f>IF($P78="NO","NO APLICA",MAX(CEILING(($O78*(1-Configuración!$B$2))/Configuración!$B$3,Configuración!$B$6),Configuración!$B$5))</f>
        <v>NO APLICA</v>
      </c>
      <c r="R78" s="20" t="str">
        <f>IF($Q78="NO APLICA","NO APLICA",$Q78*Configuración!$B$3)</f>
        <v>NO APLICA</v>
      </c>
      <c r="S78" s="19" t="str">
        <f>IF($O78&lt;Configuración!$B$8,"NO","SI")</f>
        <v>NO</v>
      </c>
      <c r="T78" s="20" t="str">
        <f>IF($S78="NO","NO APLICA",MAX(CEILING(($O78*(1-Configuración!$B$2))/Configuración!$B$4,Configuración!$B$6),Configuración!$B$5))</f>
        <v>NO APLICA</v>
      </c>
      <c r="U78" s="20" t="str">
        <f>IF($T78="NO APLICA","NO APLICA",$T78*Configuración!$B$4)</f>
        <v>NO APLICA</v>
      </c>
      <c r="V78" s="20">
        <f>MAX(CEILING($O78/Configuración!$B$9,Configuración!$B$6),Configuración!$B$5)</f>
        <v>100</v>
      </c>
      <c r="W78" s="19"/>
      <c r="X78" s="33"/>
      <c r="Y78" s="17"/>
    </row>
    <row r="79" spans="1:25" ht="15.6" x14ac:dyDescent="0.3">
      <c r="A79" s="19" t="str">
        <f>IF(OR(E79="",F79="",G79=""),"",E79&amp;"-"&amp;F79&amp;"-"&amp;G79&amp;"-"&amp;TEXT(COUNTIFS($E$2:E79,E79,$F$2:F79,F79,$G$2:G79,G79),"000"))</f>
        <v>HOG-COL-ESP-001</v>
      </c>
      <c r="B79" s="19" t="s">
        <v>250</v>
      </c>
      <c r="C79" s="19" t="s">
        <v>353</v>
      </c>
      <c r="D79" s="19" t="s">
        <v>497</v>
      </c>
      <c r="E79" s="19" t="str">
        <f>_xlfn.XLOOKUP(B79,Configuración!A:A,Configuración!B:B,"")</f>
        <v>HOG</v>
      </c>
      <c r="F79" s="19" t="str" cm="1">
        <f t="array" ref="F79">IF($C79="","",_xlfn.XLOOKUP(1,(Configuración!D:D=$B79)*(Configuración!E:E=$C79),Configuración!F:F,""))</f>
        <v>COL</v>
      </c>
      <c r="G79" s="19" t="str">
        <f>IF($D79="","",_xlfn.XLOOKUP($D79,Configuración!H:H,Configuración!I:I,""))</f>
        <v>ESP</v>
      </c>
      <c r="H79" s="19" t="s">
        <v>248</v>
      </c>
      <c r="I79" s="19" t="s">
        <v>248</v>
      </c>
      <c r="J79" s="19" t="s">
        <v>249</v>
      </c>
      <c r="K79" s="19" t="s">
        <v>276</v>
      </c>
      <c r="L79" s="20">
        <v>5460</v>
      </c>
      <c r="M79" s="20">
        <f t="shared" si="4"/>
        <v>1370</v>
      </c>
      <c r="N79" s="20">
        <f t="shared" si="5"/>
        <v>5480</v>
      </c>
      <c r="O79" s="20">
        <v>7800</v>
      </c>
      <c r="P79" s="19" t="str">
        <f>IF($O79&lt;Configuración!$B$7,"NO","SI")</f>
        <v>SI</v>
      </c>
      <c r="Q79" s="20">
        <f>IF($P79="NO","NO APLICA",MAX(CEILING(($O79*(1-Configuración!$B$2))/Configuración!$B$3,Configuración!$B$6),Configuración!$B$5))</f>
        <v>780</v>
      </c>
      <c r="R79" s="20">
        <f>IF($Q79="NO APLICA","NO APLICA",$Q79*Configuración!$B$3)</f>
        <v>6240</v>
      </c>
      <c r="S79" s="19" t="str">
        <f>IF($O79&lt;Configuración!$B$8,"NO","SI")</f>
        <v>SI</v>
      </c>
      <c r="T79" s="20">
        <f>IF($S79="NO","NO APLICA",MAX(CEILING(($O79*(1-Configuración!$B$2))/Configuración!$B$4,Configuración!$B$6),Configuración!$B$5))</f>
        <v>520</v>
      </c>
      <c r="U79" s="20">
        <f>IF($T79="NO APLICA","NO APLICA",$T79*Configuración!$B$4)</f>
        <v>6240</v>
      </c>
      <c r="V79" s="20">
        <f>MAX(CEILING($O79/Configuración!$B$9,Configuración!$B$6),Configuración!$B$5)</f>
        <v>150</v>
      </c>
      <c r="W79" s="19" t="s">
        <v>277</v>
      </c>
      <c r="X79" s="33">
        <v>46079</v>
      </c>
      <c r="Y79" s="17"/>
    </row>
    <row r="80" spans="1:25" ht="15.6" x14ac:dyDescent="0.3">
      <c r="A80" s="19" t="str">
        <f>IF(OR(E80="",F80="",G80=""),"",E80&amp;"-"&amp;F80&amp;"-"&amp;G80&amp;"-"&amp;TEXT(COUNTIFS($E$2:E80,E80,$F$2:F80,F80,$G$2:G80,G80),"000"))</f>
        <v>HOG-COL-ESP-002</v>
      </c>
      <c r="B80" s="19" t="s">
        <v>250</v>
      </c>
      <c r="C80" s="19" t="s">
        <v>353</v>
      </c>
      <c r="D80" s="19" t="s">
        <v>497</v>
      </c>
      <c r="E80" s="19" t="str">
        <f>_xlfn.XLOOKUP(B80,Configuración!A:A,Configuración!B:B,"")</f>
        <v>HOG</v>
      </c>
      <c r="F80" s="19" t="str" cm="1">
        <f t="array" ref="F80">IF($C80="","",_xlfn.XLOOKUP(1,(Configuración!D:D=$B80)*(Configuración!E:E=$C80),Configuración!F:F,""))</f>
        <v>COL</v>
      </c>
      <c r="G80" s="19" t="str">
        <f>IF($D80="","",_xlfn.XLOOKUP($D80,Configuración!H:H,Configuración!I:I,""))</f>
        <v>ESP</v>
      </c>
      <c r="H80" s="19" t="s">
        <v>253</v>
      </c>
      <c r="I80" s="19" t="s">
        <v>253</v>
      </c>
      <c r="J80" s="19" t="s">
        <v>254</v>
      </c>
      <c r="K80" s="19" t="s">
        <v>276</v>
      </c>
      <c r="L80" s="20">
        <v>5950</v>
      </c>
      <c r="M80" s="20">
        <f t="shared" si="4"/>
        <v>1490</v>
      </c>
      <c r="N80" s="20">
        <f t="shared" si="5"/>
        <v>5960</v>
      </c>
      <c r="O80" s="20">
        <v>8500</v>
      </c>
      <c r="P80" s="19" t="str">
        <f>IF($O80&lt;Configuración!$B$7,"NO","SI")</f>
        <v>SI</v>
      </c>
      <c r="Q80" s="20">
        <f>IF($P80="NO","NO APLICA",MAX(CEILING(($O80*(1-Configuración!$B$2))/Configuración!$B$3,Configuración!$B$6),Configuración!$B$5))</f>
        <v>850</v>
      </c>
      <c r="R80" s="20">
        <f>IF($Q80="NO APLICA","NO APLICA",$Q80*Configuración!$B$3)</f>
        <v>6800</v>
      </c>
      <c r="S80" s="19" t="str">
        <f>IF($O80&lt;Configuración!$B$8,"NO","SI")</f>
        <v>SI</v>
      </c>
      <c r="T80" s="20">
        <f>IF($S80="NO","NO APLICA",MAX(CEILING(($O80*(1-Configuración!$B$2))/Configuración!$B$4,Configuración!$B$6),Configuración!$B$5))</f>
        <v>570</v>
      </c>
      <c r="U80" s="20">
        <f>IF($T80="NO APLICA","NO APLICA",$T80*Configuración!$B$4)</f>
        <v>6840</v>
      </c>
      <c r="V80" s="20">
        <f>MAX(CEILING($O80/Configuración!$B$9,Configuración!$B$6),Configuración!$B$5)</f>
        <v>170</v>
      </c>
      <c r="W80" s="19" t="s">
        <v>277</v>
      </c>
      <c r="X80" s="33">
        <v>46079</v>
      </c>
      <c r="Y80" s="17"/>
    </row>
    <row r="81" spans="1:25" ht="15.6" x14ac:dyDescent="0.3">
      <c r="A81" s="19" t="str">
        <f>IF(OR(E81="",F81="",G81=""),"",E81&amp;"-"&amp;F81&amp;"-"&amp;G81&amp;"-"&amp;TEXT(COUNTIFS($E$2:E81,E81,$F$2:F81,F81,$G$2:G81,G81),"000"))</f>
        <v>HOG-COL-ESP-003</v>
      </c>
      <c r="B81" s="19" t="s">
        <v>250</v>
      </c>
      <c r="C81" s="19" t="s">
        <v>353</v>
      </c>
      <c r="D81" s="19" t="s">
        <v>497</v>
      </c>
      <c r="E81" s="19" t="str">
        <f>_xlfn.XLOOKUP(B81,Configuración!A:A,Configuración!B:B,"")</f>
        <v>HOG</v>
      </c>
      <c r="F81" s="19" t="str" cm="1">
        <f t="array" ref="F81">IF($C81="","",_xlfn.XLOOKUP(1,(Configuración!D:D=$B81)*(Configuración!E:E=$C81),Configuración!F:F,""))</f>
        <v>COL</v>
      </c>
      <c r="G81" s="19" t="str">
        <f>IF($D81="","",_xlfn.XLOOKUP($D81,Configuración!H:H,Configuración!I:I,""))</f>
        <v>ESP</v>
      </c>
      <c r="H81" s="19" t="s">
        <v>252</v>
      </c>
      <c r="I81" s="19" t="s">
        <v>252</v>
      </c>
      <c r="J81" s="19" t="s">
        <v>249</v>
      </c>
      <c r="K81" s="19" t="s">
        <v>276</v>
      </c>
      <c r="L81" s="20">
        <v>9800</v>
      </c>
      <c r="M81" s="20">
        <f t="shared" si="4"/>
        <v>2450</v>
      </c>
      <c r="N81" s="20">
        <f t="shared" si="5"/>
        <v>9800</v>
      </c>
      <c r="O81" s="20">
        <v>13995</v>
      </c>
      <c r="P81" s="19" t="str">
        <f>IF($O81&lt;Configuración!$B$7,"NO","SI")</f>
        <v>SI</v>
      </c>
      <c r="Q81" s="20">
        <f>IF($P81="NO","NO APLICA",MAX(CEILING(($O81*(1-Configuración!$B$2))/Configuración!$B$3,Configuración!$B$6),Configuración!$B$5))</f>
        <v>1400</v>
      </c>
      <c r="R81" s="20">
        <f>IF($Q81="NO APLICA","NO APLICA",$Q81*Configuración!$B$3)</f>
        <v>11200</v>
      </c>
      <c r="S81" s="19" t="str">
        <f>IF($O81&lt;Configuración!$B$8,"NO","SI")</f>
        <v>SI</v>
      </c>
      <c r="T81" s="20">
        <f>IF($S81="NO","NO APLICA",MAX(CEILING(($O81*(1-Configuración!$B$2))/Configuración!$B$4,Configuración!$B$6),Configuración!$B$5))</f>
        <v>940</v>
      </c>
      <c r="U81" s="20">
        <f>IF($T81="NO APLICA","NO APLICA",$T81*Configuración!$B$4)</f>
        <v>11280</v>
      </c>
      <c r="V81" s="20">
        <f>MAX(CEILING($O81/Configuración!$B$9,Configuración!$B$6),Configuración!$B$5)</f>
        <v>270</v>
      </c>
      <c r="W81" s="19" t="s">
        <v>277</v>
      </c>
      <c r="X81" s="33">
        <v>46079</v>
      </c>
      <c r="Y81" s="17"/>
    </row>
    <row r="82" spans="1:25" ht="15.6" x14ac:dyDescent="0.3">
      <c r="A82" s="19" t="str">
        <f>IF(OR(E82="",F82="",G82=""),"",E82&amp;"-"&amp;F82&amp;"-"&amp;G82&amp;"-"&amp;TEXT(COUNTIFS($E$2:E89,E82,$F$2:F89,F82,$G$2:G89,G82),"000"))</f>
        <v>HOG-COL-ESP-006</v>
      </c>
      <c r="B82" s="19" t="s">
        <v>250</v>
      </c>
      <c r="C82" s="19" t="s">
        <v>353</v>
      </c>
      <c r="D82" s="19" t="s">
        <v>497</v>
      </c>
      <c r="E82" s="19" t="str">
        <f>_xlfn.XLOOKUP(B82,Configuración!A:A,Configuración!B:B,"")</f>
        <v>HOG</v>
      </c>
      <c r="F82" s="19" t="str" cm="1">
        <f t="array" ref="F82">IF($C82="","",_xlfn.XLOOKUP(1,(Configuración!D:D=$B82)*(Configuración!E:E=$C82),Configuración!F:F,""))</f>
        <v>COL</v>
      </c>
      <c r="G82" s="19" t="str">
        <f>IF($D82="","",_xlfn.XLOOKUP($D82,Configuración!H:H,Configuración!I:I,""))</f>
        <v>ESP</v>
      </c>
      <c r="H82" s="19" t="s">
        <v>256</v>
      </c>
      <c r="I82" s="19" t="s">
        <v>256</v>
      </c>
      <c r="J82" s="19" t="s">
        <v>254</v>
      </c>
      <c r="K82" s="19" t="s">
        <v>276</v>
      </c>
      <c r="L82" s="20">
        <v>10500</v>
      </c>
      <c r="M82" s="20">
        <f t="shared" si="4"/>
        <v>2630</v>
      </c>
      <c r="N82" s="20">
        <f t="shared" si="5"/>
        <v>10520</v>
      </c>
      <c r="O82" s="20">
        <v>15000</v>
      </c>
      <c r="P82" s="19" t="str">
        <f>IF($O82&lt;Configuración!$B$7,"NO","SI")</f>
        <v>SI</v>
      </c>
      <c r="Q82" s="20">
        <f>IF($P82="NO","NO APLICA",MAX(CEILING(($O82*(1-Configuración!$B$2))/Configuración!$B$3,Configuración!$B$6),Configuración!$B$5))</f>
        <v>1500</v>
      </c>
      <c r="R82" s="20">
        <f>IF($Q82="NO APLICA","NO APLICA",$Q82*Configuración!$B$3)</f>
        <v>12000</v>
      </c>
      <c r="S82" s="19" t="str">
        <f>IF($O82&lt;Configuración!$B$8,"NO","SI")</f>
        <v>SI</v>
      </c>
      <c r="T82" s="20">
        <f>IF($S82="NO","NO APLICA",MAX(CEILING(($O82*(1-Configuración!$B$2))/Configuración!$B$4,Configuración!$B$6),Configuración!$B$5))</f>
        <v>1000</v>
      </c>
      <c r="U82" s="20">
        <f>IF($T82="NO APLICA","NO APLICA",$T82*Configuración!$B$4)</f>
        <v>12000</v>
      </c>
      <c r="V82" s="20">
        <f>MAX(CEILING($O82/Configuración!$B$9,Configuración!$B$6),Configuración!$B$5)</f>
        <v>290</v>
      </c>
      <c r="W82" s="19" t="s">
        <v>277</v>
      </c>
      <c r="X82" s="33">
        <v>46079</v>
      </c>
      <c r="Y82" s="17"/>
    </row>
    <row r="83" spans="1:25" ht="15.6" x14ac:dyDescent="0.3">
      <c r="A83" s="19" t="str">
        <f>IF(OR(E83="",F83="",G83=""),"",E83&amp;"-"&amp;F83&amp;"-"&amp;G83&amp;"-"&amp;TEXT(COUNTIFS($E$2:E83,E83,$F$2:F83,F83,$G$2:G83,G83),"000"))</f>
        <v>HOG-COL-ESP-005</v>
      </c>
      <c r="B83" s="19" t="s">
        <v>250</v>
      </c>
      <c r="C83" s="19" t="s">
        <v>353</v>
      </c>
      <c r="D83" s="19" t="s">
        <v>497</v>
      </c>
      <c r="E83" s="19" t="str">
        <f>_xlfn.XLOOKUP(B83,Configuración!A:A,Configuración!B:B,"")</f>
        <v>HOG</v>
      </c>
      <c r="F83" s="19" t="str" cm="1">
        <f t="array" ref="F83">IF($C83="","",_xlfn.XLOOKUP(1,(Configuración!D:D=$B83)*(Configuración!E:E=$C83),Configuración!F:F,""))</f>
        <v>COL</v>
      </c>
      <c r="G83" s="19" t="str">
        <f>IF($D83="","",_xlfn.XLOOKUP($D83,Configuración!H:H,Configuración!I:I,""))</f>
        <v>ESP</v>
      </c>
      <c r="H83" s="19" t="s">
        <v>251</v>
      </c>
      <c r="I83" s="19" t="s">
        <v>251</v>
      </c>
      <c r="J83" s="19" t="s">
        <v>249</v>
      </c>
      <c r="K83" s="19" t="s">
        <v>276</v>
      </c>
      <c r="L83" s="20">
        <v>7000</v>
      </c>
      <c r="M83" s="20">
        <f t="shared" si="4"/>
        <v>1750</v>
      </c>
      <c r="N83" s="20">
        <f t="shared" si="5"/>
        <v>7000</v>
      </c>
      <c r="O83" s="20">
        <v>10000</v>
      </c>
      <c r="P83" s="19" t="str">
        <f>IF($O83&lt;Configuración!$B$7,"NO","SI")</f>
        <v>SI</v>
      </c>
      <c r="Q83" s="20">
        <f>IF($P83="NO","NO APLICA",MAX(CEILING(($O83*(1-Configuración!$B$2))/Configuración!$B$3,Configuración!$B$6),Configuración!$B$5))</f>
        <v>1000</v>
      </c>
      <c r="R83" s="20">
        <f>IF($Q83="NO APLICA","NO APLICA",$Q83*Configuración!$B$3)</f>
        <v>8000</v>
      </c>
      <c r="S83" s="19" t="str">
        <f>IF($O83&lt;Configuración!$B$8,"NO","SI")</f>
        <v>SI</v>
      </c>
      <c r="T83" s="20">
        <f>IF($S83="NO","NO APLICA",MAX(CEILING(($O83*(1-Configuración!$B$2))/Configuración!$B$4,Configuración!$B$6),Configuración!$B$5))</f>
        <v>670</v>
      </c>
      <c r="U83" s="20">
        <f>IF($T83="NO APLICA","NO APLICA",$T83*Configuración!$B$4)</f>
        <v>8040</v>
      </c>
      <c r="V83" s="20">
        <f>MAX(CEILING($O83/Configuración!$B$9,Configuración!$B$6),Configuración!$B$5)</f>
        <v>200</v>
      </c>
      <c r="W83" s="19" t="s">
        <v>277</v>
      </c>
      <c r="X83" s="33">
        <v>46079</v>
      </c>
      <c r="Y83" s="17"/>
    </row>
    <row r="84" spans="1:25" ht="15.6" x14ac:dyDescent="0.3">
      <c r="A84" s="19" t="str">
        <f>IF(OR(E84="",F84="",G84=""),"",E84&amp;"-"&amp;F84&amp;"-"&amp;G84&amp;"-"&amp;TEXT(COUNTIFS($E$2:E84,E84,$F$2:F84,F84,$G$2:G84,G84),"000"))</f>
        <v>HOG-COL-ESP-006</v>
      </c>
      <c r="B84" s="19" t="s">
        <v>250</v>
      </c>
      <c r="C84" s="19" t="s">
        <v>353</v>
      </c>
      <c r="D84" s="19" t="s">
        <v>497</v>
      </c>
      <c r="E84" s="19" t="str">
        <f>_xlfn.XLOOKUP(B84,Configuración!A:A,Configuración!B:B,"")</f>
        <v>HOG</v>
      </c>
      <c r="F84" s="19" t="str" cm="1">
        <f t="array" ref="F84">IF($C84="","",_xlfn.XLOOKUP(1,(Configuración!D:D=$B84)*(Configuración!E:E=$C84),Configuración!F:F,""))</f>
        <v>COL</v>
      </c>
      <c r="G84" s="19" t="str">
        <f>IF($D84="","",_xlfn.XLOOKUP($D84,Configuración!H:H,Configuración!I:I,""))</f>
        <v>ESP</v>
      </c>
      <c r="H84" s="19" t="s">
        <v>255</v>
      </c>
      <c r="I84" s="19" t="s">
        <v>255</v>
      </c>
      <c r="J84" s="19" t="s">
        <v>254</v>
      </c>
      <c r="K84" s="19" t="s">
        <v>276</v>
      </c>
      <c r="L84" s="20">
        <v>7525</v>
      </c>
      <c r="M84" s="20">
        <f t="shared" si="4"/>
        <v>1890</v>
      </c>
      <c r="N84" s="20">
        <f t="shared" si="5"/>
        <v>7560</v>
      </c>
      <c r="O84" s="20">
        <v>10750</v>
      </c>
      <c r="P84" s="19" t="str">
        <f>IF($O84&lt;Configuración!$B$7,"NO","SI")</f>
        <v>SI</v>
      </c>
      <c r="Q84" s="20">
        <f>IF($P84="NO","NO APLICA",MAX(CEILING(($O84*(1-Configuración!$B$2))/Configuración!$B$3,Configuración!$B$6),Configuración!$B$5))</f>
        <v>1080</v>
      </c>
      <c r="R84" s="20">
        <f>IF($Q84="NO APLICA","NO APLICA",$Q84*Configuración!$B$3)</f>
        <v>8640</v>
      </c>
      <c r="S84" s="19" t="str">
        <f>IF($O84&lt;Configuración!$B$8,"NO","SI")</f>
        <v>SI</v>
      </c>
      <c r="T84" s="20">
        <f>IF($S84="NO","NO APLICA",MAX(CEILING(($O84*(1-Configuración!$B$2))/Configuración!$B$4,Configuración!$B$6),Configuración!$B$5))</f>
        <v>720</v>
      </c>
      <c r="U84" s="20">
        <f>IF($T84="NO APLICA","NO APLICA",$T84*Configuración!$B$4)</f>
        <v>8640</v>
      </c>
      <c r="V84" s="20">
        <f>MAX(CEILING($O84/Configuración!$B$9,Configuración!$B$6),Configuración!$B$5)</f>
        <v>210</v>
      </c>
      <c r="W84" s="19" t="s">
        <v>277</v>
      </c>
      <c r="X84" s="33">
        <v>46079</v>
      </c>
      <c r="Y84" s="17"/>
    </row>
    <row r="85" spans="1:25" ht="15.6" x14ac:dyDescent="0.3">
      <c r="A85" s="19" t="str">
        <f>IF(OR(E85="",F85="",G85=""),"",E85&amp;"-"&amp;F85&amp;"-"&amp;G85&amp;"-"&amp;TEXT(COUNTIFS($E$2:E85,E85,$F$2:F85,F85,$G$2:G85,G85),"000"))</f>
        <v>COC-COM-ALUT-001</v>
      </c>
      <c r="B85" s="19" t="s">
        <v>18</v>
      </c>
      <c r="C85" s="19" t="s">
        <v>316</v>
      </c>
      <c r="D85" s="19" t="s">
        <v>453</v>
      </c>
      <c r="E85" s="19" t="str">
        <f>_xlfn.XLOOKUP(B85,Configuración!A:A,Configuración!B:B,"")</f>
        <v>COC</v>
      </c>
      <c r="F85" s="19" t="str" cm="1">
        <f t="array" ref="F85">IF($C85="","",_xlfn.XLOOKUP(1,(Configuración!D:D=$B85)*(Configuración!E:E=$C85),Configuración!F:F,""))</f>
        <v>COM</v>
      </c>
      <c r="G85" s="19" t="str">
        <f>IF($D85="","",_xlfn.XLOOKUP($D85,Configuración!H:H,Configuración!I:I,""))</f>
        <v>ALUT</v>
      </c>
      <c r="H85" s="19" t="s">
        <v>73</v>
      </c>
      <c r="I85" s="19" t="s">
        <v>456</v>
      </c>
      <c r="J85" s="19" t="s">
        <v>70</v>
      </c>
      <c r="K85" s="19" t="s">
        <v>498</v>
      </c>
      <c r="L85" s="20">
        <v>1540</v>
      </c>
      <c r="M85" s="20">
        <f t="shared" si="4"/>
        <v>390</v>
      </c>
      <c r="N85" s="20">
        <f t="shared" si="5"/>
        <v>1560</v>
      </c>
      <c r="O85" s="20">
        <v>2200</v>
      </c>
      <c r="P85" s="19" t="str">
        <f>IF($O85&lt;Configuración!$B$7,"NO","SI")</f>
        <v>SI</v>
      </c>
      <c r="Q85" s="20">
        <f>IF($P85="NO","NO APLICA",MAX(CEILING(($O85*(1-Configuración!$B$2))/Configuración!$B$3,Configuración!$B$6),Configuración!$B$5))</f>
        <v>220</v>
      </c>
      <c r="R85" s="20">
        <f>IF($Q85="NO APLICA","NO APLICA",$Q85*Configuración!$B$3)</f>
        <v>1760</v>
      </c>
      <c r="S85" s="19" t="str">
        <f>IF($O85&lt;Configuración!$B$8,"NO","SI")</f>
        <v>NO</v>
      </c>
      <c r="T85" s="20" t="str">
        <f>IF($S85="NO","NO APLICA",MAX(CEILING(($O85*(1-Configuración!$B$2))/Configuración!$B$4,Configuración!$B$6),Configuración!$B$5))</f>
        <v>NO APLICA</v>
      </c>
      <c r="U85" s="20" t="str">
        <f>IF($T85="NO APLICA","NO APLICA",$T85*Configuración!$B$4)</f>
        <v>NO APLICA</v>
      </c>
      <c r="V85" s="20">
        <f>MAX(CEILING($O85/Configuración!$B$9,Configuración!$B$6),Configuración!$B$5)</f>
        <v>100</v>
      </c>
      <c r="W85" s="19" t="s">
        <v>277</v>
      </c>
      <c r="X85" s="33">
        <v>46079</v>
      </c>
      <c r="Y85" s="17"/>
    </row>
    <row r="86" spans="1:25" ht="15.6" x14ac:dyDescent="0.3">
      <c r="A86" s="19" t="str">
        <f>IF(OR(E86="",F86="",G86=""),"",E86&amp;"-"&amp;F86&amp;"-"&amp;G86&amp;"-"&amp;TEXT(COUNTIFS($E$2:E86,E86,$F$2:F86,F86,$G$2:G86,G86),"000"))</f>
        <v>COC-COM-ALUT-002</v>
      </c>
      <c r="B86" s="19" t="s">
        <v>18</v>
      </c>
      <c r="C86" s="19" t="s">
        <v>316</v>
      </c>
      <c r="D86" s="19" t="s">
        <v>453</v>
      </c>
      <c r="E86" s="19" t="str">
        <f>_xlfn.XLOOKUP(B86,Configuración!A:A,Configuración!B:B,"")</f>
        <v>COC</v>
      </c>
      <c r="F86" s="19" t="str" cm="1">
        <f t="array" ref="F86">IF($C86="","",_xlfn.XLOOKUP(1,(Configuración!D:D=$B86)*(Configuración!E:E=$C86),Configuración!F:F,""))</f>
        <v>COM</v>
      </c>
      <c r="G86" s="19" t="str">
        <f>IF($D86="","",_xlfn.XLOOKUP($D86,Configuración!H:H,Configuración!I:I,""))</f>
        <v>ALUT</v>
      </c>
      <c r="H86" s="19" t="s">
        <v>74</v>
      </c>
      <c r="I86" s="19" t="s">
        <v>457</v>
      </c>
      <c r="J86" s="19" t="s">
        <v>38</v>
      </c>
      <c r="K86" s="19" t="s">
        <v>498</v>
      </c>
      <c r="L86" s="20">
        <v>1680</v>
      </c>
      <c r="M86" s="20">
        <f t="shared" si="4"/>
        <v>420</v>
      </c>
      <c r="N86" s="20">
        <f t="shared" si="5"/>
        <v>1680</v>
      </c>
      <c r="O86" s="20">
        <v>2400</v>
      </c>
      <c r="P86" s="19" t="str">
        <f>IF($O86&lt;Configuración!$B$7,"NO","SI")</f>
        <v>SI</v>
      </c>
      <c r="Q86" s="20">
        <f>IF($P86="NO","NO APLICA",MAX(CEILING(($O86*(1-Configuración!$B$2))/Configuración!$B$3,Configuración!$B$6),Configuración!$B$5))</f>
        <v>240</v>
      </c>
      <c r="R86" s="20">
        <f>IF($Q86="NO APLICA","NO APLICA",$Q86*Configuración!$B$3)</f>
        <v>1920</v>
      </c>
      <c r="S86" s="19" t="str">
        <f>IF($O86&lt;Configuración!$B$8,"NO","SI")</f>
        <v>NO</v>
      </c>
      <c r="T86" s="20" t="str">
        <f>IF($S86="NO","NO APLICA",MAX(CEILING(($O86*(1-Configuración!$B$2))/Configuración!$B$4,Configuración!$B$6),Configuración!$B$5))</f>
        <v>NO APLICA</v>
      </c>
      <c r="U86" s="20" t="str">
        <f>IF($T86="NO APLICA","NO APLICA",$T86*Configuración!$B$4)</f>
        <v>NO APLICA</v>
      </c>
      <c r="V86" s="20">
        <f>MAX(CEILING($O86/Configuración!$B$9,Configuración!$B$6),Configuración!$B$5)</f>
        <v>100</v>
      </c>
      <c r="W86" s="19" t="s">
        <v>277</v>
      </c>
      <c r="X86" s="33">
        <v>46079</v>
      </c>
      <c r="Y86" s="17"/>
    </row>
    <row r="87" spans="1:25" ht="15.6" x14ac:dyDescent="0.3">
      <c r="A87" s="19" t="str">
        <f>IF(OR(E87="",F87="",G87=""),"",E87&amp;"-"&amp;F87&amp;"-"&amp;G87&amp;"-"&amp;TEXT(COUNTIFS($E$2:E87,E87,$F$2:F87,F87,$G$2:G87,G87),"000"))</f>
        <v>COC-SAR-ALUT-001</v>
      </c>
      <c r="B87" s="19" t="s">
        <v>18</v>
      </c>
      <c r="C87" s="19" t="s">
        <v>334</v>
      </c>
      <c r="D87" s="19" t="s">
        <v>453</v>
      </c>
      <c r="E87" s="19" t="str">
        <f>_xlfn.XLOOKUP(B87,Configuración!A:A,Configuración!B:B,"")</f>
        <v>COC</v>
      </c>
      <c r="F87" s="19" t="str" cm="1">
        <f t="array" ref="F87">IF($C87="","",_xlfn.XLOOKUP(1,(Configuración!D:D=$B87)*(Configuración!E:E=$C87),Configuración!F:F,""))</f>
        <v>SAR</v>
      </c>
      <c r="G87" s="19" t="str">
        <f>IF($D87="","",_xlfn.XLOOKUP($D87,Configuración!H:H,Configuración!I:I,""))</f>
        <v>ALUT</v>
      </c>
      <c r="H87" s="19" t="s">
        <v>71</v>
      </c>
      <c r="I87" s="19" t="s">
        <v>71</v>
      </c>
      <c r="J87" s="19" t="s">
        <v>72</v>
      </c>
      <c r="K87" s="19" t="s">
        <v>498</v>
      </c>
      <c r="L87" s="20">
        <v>960</v>
      </c>
      <c r="M87" s="20">
        <f t="shared" si="4"/>
        <v>240</v>
      </c>
      <c r="N87" s="20">
        <f t="shared" si="5"/>
        <v>960</v>
      </c>
      <c r="O87" s="20">
        <v>1200</v>
      </c>
      <c r="P87" s="19" t="str">
        <f>IF($O87&lt;Configuración!$B$7,"NO","SI")</f>
        <v>NO</v>
      </c>
      <c r="Q87" s="20" t="str">
        <f>IF($P87="NO","NO APLICA",MAX(CEILING(($O87*(1-Configuración!$B$2))/Configuración!$B$3,Configuración!$B$6),Configuración!$B$5))</f>
        <v>NO APLICA</v>
      </c>
      <c r="R87" s="20" t="str">
        <f>IF($Q87="NO APLICA","NO APLICA",$Q87*Configuración!$B$3)</f>
        <v>NO APLICA</v>
      </c>
      <c r="S87" s="19" t="str">
        <f>IF($O87&lt;Configuración!$B$8,"NO","SI")</f>
        <v>NO</v>
      </c>
      <c r="T87" s="20" t="str">
        <f>IF($S87="NO","NO APLICA",MAX(CEILING(($O87*(1-Configuración!$B$2))/Configuración!$B$4,Configuración!$B$6),Configuración!$B$5))</f>
        <v>NO APLICA</v>
      </c>
      <c r="U87" s="20" t="str">
        <f>IF($T87="NO APLICA","NO APLICA",$T87*Configuración!$B$4)</f>
        <v>NO APLICA</v>
      </c>
      <c r="V87" s="20">
        <f>MAX(CEILING($O87/Configuración!$B$9,Configuración!$B$6),Configuración!$B$5)</f>
        <v>100</v>
      </c>
      <c r="W87" s="19" t="s">
        <v>277</v>
      </c>
      <c r="X87" s="33">
        <v>46079</v>
      </c>
      <c r="Y87" s="17"/>
    </row>
    <row r="88" spans="1:25" ht="15.6" x14ac:dyDescent="0.3">
      <c r="A88" s="19" t="str">
        <f>IF(OR(E88="",F88="",G88=""),"",E88&amp;"-"&amp;F88&amp;"-"&amp;G88&amp;"-"&amp;TEXT(COUNTIFS($E$2:E88,E88,$F$2:F88,F88,$G$2:G88,G88),"000"))</f>
        <v>MOB-COMD-TUB-001</v>
      </c>
      <c r="B88" s="19" t="s">
        <v>19</v>
      </c>
      <c r="C88" s="19" t="s">
        <v>379</v>
      </c>
      <c r="D88" s="19" t="s">
        <v>329</v>
      </c>
      <c r="E88" s="19" t="str">
        <f>_xlfn.XLOOKUP(B88,Configuración!A:A,Configuración!B:B,"")</f>
        <v>MOB</v>
      </c>
      <c r="F88" s="19" t="str" cm="1">
        <f t="array" ref="F88">IF($C88="","",_xlfn.XLOOKUP(1,(Configuración!D:D=$B88)*(Configuración!E:E=$C88),Configuración!F:F,""))</f>
        <v>COMD</v>
      </c>
      <c r="G88" s="19" t="str">
        <f>IF($D88="","",_xlfn.XLOOKUP($D88,Configuración!H:H,Configuración!I:I,""))</f>
        <v>TUB</v>
      </c>
      <c r="H88" s="19" t="s">
        <v>197</v>
      </c>
      <c r="I88" s="19" t="s">
        <v>197</v>
      </c>
      <c r="J88" s="19" t="s">
        <v>156</v>
      </c>
      <c r="K88" s="19" t="s">
        <v>276</v>
      </c>
      <c r="L88" s="20">
        <v>4200</v>
      </c>
      <c r="M88" s="20">
        <f t="shared" si="4"/>
        <v>1050</v>
      </c>
      <c r="N88" s="20">
        <f t="shared" si="5"/>
        <v>4200</v>
      </c>
      <c r="O88" s="20">
        <v>6000</v>
      </c>
      <c r="P88" s="19" t="str">
        <f>IF($O88&lt;Configuración!$B$7,"NO","SI")</f>
        <v>SI</v>
      </c>
      <c r="Q88" s="20">
        <f>IF($P88="NO","NO APLICA",MAX(CEILING(($O88*(1-Configuración!$B$2))/Configuración!$B$3,Configuración!$B$6),Configuración!$B$5))</f>
        <v>600</v>
      </c>
      <c r="R88" s="20">
        <f>IF($Q88="NO APLICA","NO APLICA",$Q88*Configuración!$B$3)</f>
        <v>4800</v>
      </c>
      <c r="S88" s="19" t="str">
        <f>IF($O88&lt;Configuración!$B$8,"NO","SI")</f>
        <v>SI</v>
      </c>
      <c r="T88" s="20">
        <f>IF($S88="NO","NO APLICA",MAX(CEILING(($O88*(1-Configuración!$B$2))/Configuración!$B$4,Configuración!$B$6),Configuración!$B$5))</f>
        <v>400</v>
      </c>
      <c r="U88" s="20">
        <f>IF($T88="NO APLICA","NO APLICA",$T88*Configuración!$B$4)</f>
        <v>4800</v>
      </c>
      <c r="V88" s="20">
        <f>MAX(CEILING($O88/Configuración!$B$9,Configuración!$B$6),Configuración!$B$5)</f>
        <v>120</v>
      </c>
      <c r="W88" s="19" t="s">
        <v>277</v>
      </c>
      <c r="X88" s="33">
        <v>46079</v>
      </c>
      <c r="Y88" s="17"/>
    </row>
    <row r="89" spans="1:25" ht="15.6" x14ac:dyDescent="0.3">
      <c r="A89" s="19" t="str">
        <f>IF(OR(E89="",F89="",G89=""),"",E89&amp;"-"&amp;F89&amp;"-"&amp;G89&amp;"-"&amp;TEXT(COUNTIFS($E$2:E89,E89,$F$2:F89,F89,$G$2:G89,G89),"000"))</f>
        <v>MOB-COMD-TUB-002</v>
      </c>
      <c r="B89" s="19" t="s">
        <v>19</v>
      </c>
      <c r="C89" s="19" t="s">
        <v>379</v>
      </c>
      <c r="D89" s="19" t="s">
        <v>329</v>
      </c>
      <c r="E89" s="19" t="str">
        <f>_xlfn.XLOOKUP(B89,Configuración!A:A,Configuración!B:B,"")</f>
        <v>MOB</v>
      </c>
      <c r="F89" s="19" t="str" cm="1">
        <f t="array" ref="F89">IF($C89="","",_xlfn.XLOOKUP(1,(Configuración!D:D=$B89)*(Configuración!E:E=$C89),Configuración!F:F,""))</f>
        <v>COMD</v>
      </c>
      <c r="G89" s="19" t="str">
        <f>IF($D89="","",_xlfn.XLOOKUP($D89,Configuración!H:H,Configuración!I:I,""))</f>
        <v>TUB</v>
      </c>
      <c r="H89" s="19" t="s">
        <v>198</v>
      </c>
      <c r="I89" s="19" t="s">
        <v>198</v>
      </c>
      <c r="J89" s="19" t="s">
        <v>199</v>
      </c>
      <c r="K89" s="19" t="s">
        <v>276</v>
      </c>
      <c r="L89" s="20">
        <v>4900</v>
      </c>
      <c r="M89" s="20">
        <f t="shared" si="4"/>
        <v>1230</v>
      </c>
      <c r="N89" s="20">
        <f t="shared" si="5"/>
        <v>4920</v>
      </c>
      <c r="O89" s="20">
        <v>7000</v>
      </c>
      <c r="P89" s="19" t="str">
        <f>IF($O89&lt;Configuración!$B$7,"NO","SI")</f>
        <v>SI</v>
      </c>
      <c r="Q89" s="20">
        <f>IF($P89="NO","NO APLICA",MAX(CEILING(($O89*(1-Configuración!$B$2))/Configuración!$B$3,Configuración!$B$6),Configuración!$B$5))</f>
        <v>700</v>
      </c>
      <c r="R89" s="20">
        <f>IF($Q89="NO APLICA","NO APLICA",$Q89*Configuración!$B$3)</f>
        <v>5600</v>
      </c>
      <c r="S89" s="19" t="str">
        <f>IF($O89&lt;Configuración!$B$8,"NO","SI")</f>
        <v>SI</v>
      </c>
      <c r="T89" s="20">
        <f>IF($S89="NO","NO APLICA",MAX(CEILING(($O89*(1-Configuración!$B$2))/Configuración!$B$4,Configuración!$B$6),Configuración!$B$5))</f>
        <v>470</v>
      </c>
      <c r="U89" s="20">
        <f>IF($T89="NO APLICA","NO APLICA",$T89*Configuración!$B$4)</f>
        <v>5640</v>
      </c>
      <c r="V89" s="20">
        <f>MAX(CEILING($O89/Configuración!$B$9,Configuración!$B$6),Configuración!$B$5)</f>
        <v>140</v>
      </c>
      <c r="W89" s="19" t="s">
        <v>277</v>
      </c>
      <c r="X89" s="33">
        <v>46079</v>
      </c>
      <c r="Y89" s="17"/>
    </row>
    <row r="90" spans="1:25" ht="15.6" x14ac:dyDescent="0.3">
      <c r="A90" s="19" t="str">
        <f>IF(OR(E90="",F90="",G90=""),"",E90&amp;"-"&amp;F90&amp;"-"&amp;G90&amp;"-"&amp;TEXT(COUNTIFS($E$2:E90,E90,$F$2:F90,F90,$G$2:G90,G90),"000"))</f>
        <v>MOB-COMD-TUB-003</v>
      </c>
      <c r="B90" s="19" t="s">
        <v>19</v>
      </c>
      <c r="C90" s="19" t="s">
        <v>379</v>
      </c>
      <c r="D90" s="19" t="s">
        <v>329</v>
      </c>
      <c r="E90" s="19" t="str">
        <f>_xlfn.XLOOKUP(B90,Configuración!A:A,Configuración!B:B,"")</f>
        <v>MOB</v>
      </c>
      <c r="F90" s="19" t="str" cm="1">
        <f t="array" ref="F90">IF($C90="","",_xlfn.XLOOKUP(1,(Configuración!D:D=$B90)*(Configuración!E:E=$C90),Configuración!F:F,""))</f>
        <v>COMD</v>
      </c>
      <c r="G90" s="19" t="str">
        <f>IF($D90="","",_xlfn.XLOOKUP($D90,Configuración!H:H,Configuración!I:I,""))</f>
        <v>TUB</v>
      </c>
      <c r="H90" s="19" t="s">
        <v>200</v>
      </c>
      <c r="I90" s="19" t="s">
        <v>200</v>
      </c>
      <c r="J90" s="19" t="s">
        <v>156</v>
      </c>
      <c r="K90" s="19" t="s">
        <v>276</v>
      </c>
      <c r="L90" s="20">
        <v>5600</v>
      </c>
      <c r="M90" s="20">
        <f t="shared" si="4"/>
        <v>1400</v>
      </c>
      <c r="N90" s="20">
        <f t="shared" si="5"/>
        <v>5600</v>
      </c>
      <c r="O90" s="20">
        <v>8000</v>
      </c>
      <c r="P90" s="19" t="str">
        <f>IF($O90&lt;Configuración!$B$7,"NO","SI")</f>
        <v>SI</v>
      </c>
      <c r="Q90" s="20">
        <f>IF($P90="NO","NO APLICA",MAX(CEILING(($O90*(1-Configuración!$B$2))/Configuración!$B$3,Configuración!$B$6),Configuración!$B$5))</f>
        <v>800</v>
      </c>
      <c r="R90" s="20">
        <f>IF($Q90="NO APLICA","NO APLICA",$Q90*Configuración!$B$3)</f>
        <v>6400</v>
      </c>
      <c r="S90" s="19" t="str">
        <f>IF($O90&lt;Configuración!$B$8,"NO","SI")</f>
        <v>SI</v>
      </c>
      <c r="T90" s="20">
        <f>IF($S90="NO","NO APLICA",MAX(CEILING(($O90*(1-Configuración!$B$2))/Configuración!$B$4,Configuración!$B$6),Configuración!$B$5))</f>
        <v>540</v>
      </c>
      <c r="U90" s="20">
        <f>IF($T90="NO APLICA","NO APLICA",$T90*Configuración!$B$4)</f>
        <v>6480</v>
      </c>
      <c r="V90" s="20">
        <f>MAX(CEILING($O90/Configuración!$B$9,Configuración!$B$6),Configuración!$B$5)</f>
        <v>160</v>
      </c>
      <c r="W90" s="19" t="s">
        <v>277</v>
      </c>
      <c r="X90" s="33">
        <v>46079</v>
      </c>
      <c r="Y90" s="17"/>
    </row>
    <row r="91" spans="1:25" ht="15.6" x14ac:dyDescent="0.3">
      <c r="A91" s="19" t="str">
        <f>IF(OR(E91="",F91="",G91=""),"",E91&amp;"-"&amp;F91&amp;"-"&amp;G91&amp;"-"&amp;TEXT(COUNTIFS($E$2:E91,E91,$F$2:F91,F91,$G$2:G91,G91),"000"))</f>
        <v>MOB-ESP-TUB-001</v>
      </c>
      <c r="B91" s="19" t="s">
        <v>19</v>
      </c>
      <c r="C91" s="19" t="s">
        <v>407</v>
      </c>
      <c r="D91" s="19" t="s">
        <v>329</v>
      </c>
      <c r="E91" s="19" t="str">
        <f>_xlfn.XLOOKUP(B91,Configuración!A:A,Configuración!B:B,"")</f>
        <v>MOB</v>
      </c>
      <c r="F91" s="19" t="str" cm="1">
        <f t="array" ref="F91">IF($C91="","",_xlfn.XLOOKUP(1,(Configuración!D:D=$B91)*(Configuración!E:E=$C91),Configuración!F:F,""))</f>
        <v>ESP</v>
      </c>
      <c r="G91" s="19" t="str">
        <f>IF($D91="","",_xlfn.XLOOKUP($D91,Configuración!H:H,Configuración!I:I,""))</f>
        <v>TUB</v>
      </c>
      <c r="H91" s="19" t="s">
        <v>186</v>
      </c>
      <c r="I91" s="19" t="s">
        <v>186</v>
      </c>
      <c r="J91" s="19" t="s">
        <v>156</v>
      </c>
      <c r="K91" s="19" t="s">
        <v>276</v>
      </c>
      <c r="L91" s="20">
        <v>2800</v>
      </c>
      <c r="M91" s="20">
        <f t="shared" si="4"/>
        <v>700</v>
      </c>
      <c r="N91" s="20">
        <f t="shared" si="5"/>
        <v>2800</v>
      </c>
      <c r="O91" s="20">
        <v>4000</v>
      </c>
      <c r="P91" s="19" t="str">
        <f>IF($O91&lt;Configuración!$B$7,"NO","SI")</f>
        <v>SI</v>
      </c>
      <c r="Q91" s="20">
        <f>IF($P91="NO","NO APLICA",MAX(CEILING(($O91*(1-Configuración!$B$2))/Configuración!$B$3,Configuración!$B$6),Configuración!$B$5))</f>
        <v>400</v>
      </c>
      <c r="R91" s="20">
        <f>IF($Q91="NO APLICA","NO APLICA",$Q91*Configuración!$B$3)</f>
        <v>3200</v>
      </c>
      <c r="S91" s="19" t="str">
        <f>IF($O91&lt;Configuración!$B$8,"NO","SI")</f>
        <v>SI</v>
      </c>
      <c r="T91" s="20">
        <f>IF($S91="NO","NO APLICA",MAX(CEILING(($O91*(1-Configuración!$B$2))/Configuración!$B$4,Configuración!$B$6),Configuración!$B$5))</f>
        <v>270</v>
      </c>
      <c r="U91" s="20">
        <f>IF($T91="NO APLICA","NO APLICA",$T91*Configuración!$B$4)</f>
        <v>3240</v>
      </c>
      <c r="V91" s="20">
        <f>MAX(CEILING($O91/Configuración!$B$9,Configuración!$B$6),Configuración!$B$5)</f>
        <v>100</v>
      </c>
      <c r="W91" s="19" t="s">
        <v>277</v>
      </c>
      <c r="X91" s="33">
        <v>46079</v>
      </c>
      <c r="Y91" s="17"/>
    </row>
    <row r="92" spans="1:25" ht="15.6" x14ac:dyDescent="0.3">
      <c r="A92" s="19" t="str">
        <f>IF(OR(E92="",F92="",G92=""),"",E92&amp;"-"&amp;F92&amp;"-"&amp;G92&amp;"-"&amp;TEXT(COUNTIFS($E$2:E92,E92,$F$2:F92,F92,$G$2:G92,G92),"000"))</f>
        <v>MOB-ESQ-TUB-001</v>
      </c>
      <c r="B92" s="19" t="s">
        <v>19</v>
      </c>
      <c r="C92" s="19" t="s">
        <v>401</v>
      </c>
      <c r="D92" s="19" t="s">
        <v>329</v>
      </c>
      <c r="E92" s="19" t="str">
        <f>_xlfn.XLOOKUP(B92,Configuración!A:A,Configuración!B:B,"")</f>
        <v>MOB</v>
      </c>
      <c r="F92" s="19" t="str" cm="1">
        <f t="array" ref="F92">IF($C92="","",_xlfn.XLOOKUP(1,(Configuración!D:D=$B92)*(Configuración!E:E=$C92),Configuración!F:F,""))</f>
        <v>ESQ</v>
      </c>
      <c r="G92" s="19" t="str">
        <f>IF($D92="","",_xlfn.XLOOKUP($D92,Configuración!H:H,Configuración!I:I,""))</f>
        <v>TUB</v>
      </c>
      <c r="H92" s="19" t="s">
        <v>184</v>
      </c>
      <c r="I92" s="19" t="s">
        <v>184</v>
      </c>
      <c r="J92" s="19" t="s">
        <v>156</v>
      </c>
      <c r="K92" s="19" t="s">
        <v>276</v>
      </c>
      <c r="L92" s="20">
        <v>1820</v>
      </c>
      <c r="M92" s="20">
        <f t="shared" si="4"/>
        <v>460</v>
      </c>
      <c r="N92" s="20">
        <f t="shared" si="5"/>
        <v>1840</v>
      </c>
      <c r="O92" s="20">
        <v>2600</v>
      </c>
      <c r="P92" s="19" t="str">
        <f>IF($O92&lt;Configuración!$B$7,"NO","SI")</f>
        <v>SI</v>
      </c>
      <c r="Q92" s="20">
        <f>IF($P92="NO","NO APLICA",MAX(CEILING(($O92*(1-Configuración!$B$2))/Configuración!$B$3,Configuración!$B$6),Configuración!$B$5))</f>
        <v>260</v>
      </c>
      <c r="R92" s="20">
        <f>IF($Q92="NO APLICA","NO APLICA",$Q92*Configuración!$B$3)</f>
        <v>2080</v>
      </c>
      <c r="S92" s="19" t="str">
        <f>IF($O92&lt;Configuración!$B$8,"NO","SI")</f>
        <v>NO</v>
      </c>
      <c r="T92" s="20" t="str">
        <f>IF($S92="NO","NO APLICA",MAX(CEILING(($O92*(1-Configuración!$B$2))/Configuración!$B$4,Configuración!$B$6),Configuración!$B$5))</f>
        <v>NO APLICA</v>
      </c>
      <c r="U92" s="20" t="str">
        <f>IF($T92="NO APLICA","NO APLICA",$T92*Configuración!$B$4)</f>
        <v>NO APLICA</v>
      </c>
      <c r="V92" s="20">
        <f>MAX(CEILING($O92/Configuración!$B$9,Configuración!$B$6),Configuración!$B$5)</f>
        <v>100</v>
      </c>
      <c r="W92" s="19" t="s">
        <v>277</v>
      </c>
      <c r="X92" s="33">
        <v>46079</v>
      </c>
      <c r="Y92" s="17"/>
    </row>
    <row r="93" spans="1:25" ht="15.6" x14ac:dyDescent="0.3">
      <c r="A93" s="19" t="str">
        <f>IF(OR(E93="",F93="",G93=""),"",E93&amp;"-"&amp;F93&amp;"-"&amp;G93&amp;"-"&amp;TEXT(COUNTIFS($E$2:E93,E93,$F$2:F93,F93,$G$2:G93,G93),"000"))</f>
        <v>LBL-EST-MET-001</v>
      </c>
      <c r="B93" s="19" t="s">
        <v>233</v>
      </c>
      <c r="C93" s="19" t="s">
        <v>415</v>
      </c>
      <c r="D93" s="19" t="s">
        <v>327</v>
      </c>
      <c r="E93" s="19" t="str">
        <f>_xlfn.XLOOKUP(B93,Configuración!A:A,Configuración!B:B,"")</f>
        <v>LBL</v>
      </c>
      <c r="F93" s="19" t="str" cm="1">
        <f t="array" ref="F93">IF($C93="","",_xlfn.XLOOKUP(1,(Configuración!D:D=$B93)*(Configuración!E:E=$C93),Configuración!F:F,""))</f>
        <v>EST</v>
      </c>
      <c r="G93" s="19" t="str">
        <f>IF($D93="","",_xlfn.XLOOKUP($D93,Configuración!H:H,Configuración!I:I,""))</f>
        <v>MET</v>
      </c>
      <c r="H93" s="19" t="s">
        <v>231</v>
      </c>
      <c r="I93" s="19" t="s">
        <v>231</v>
      </c>
      <c r="J93" s="19" t="s">
        <v>232</v>
      </c>
      <c r="K93" s="19" t="s">
        <v>276</v>
      </c>
      <c r="L93" s="20">
        <v>11200</v>
      </c>
      <c r="M93" s="20">
        <f t="shared" si="4"/>
        <v>2800</v>
      </c>
      <c r="N93" s="20">
        <f t="shared" si="5"/>
        <v>11200</v>
      </c>
      <c r="O93" s="20">
        <v>15995</v>
      </c>
      <c r="P93" s="19" t="str">
        <f>IF($O93&lt;Configuración!$B$7,"NO","SI")</f>
        <v>SI</v>
      </c>
      <c r="Q93" s="20">
        <f>IF($P93="NO","NO APLICA",MAX(CEILING(($O93*(1-Configuración!$B$2))/Configuración!$B$3,Configuración!$B$6),Configuración!$B$5))</f>
        <v>1600</v>
      </c>
      <c r="R93" s="20">
        <f>IF($Q93="NO APLICA","NO APLICA",$Q93*Configuración!$B$3)</f>
        <v>12800</v>
      </c>
      <c r="S93" s="19" t="str">
        <f>IF($O93&lt;Configuración!$B$8,"NO","SI")</f>
        <v>SI</v>
      </c>
      <c r="T93" s="20">
        <f>IF($S93="NO","NO APLICA",MAX(CEILING(($O93*(1-Configuración!$B$2))/Configuración!$B$4,Configuración!$B$6),Configuración!$B$5))</f>
        <v>1070</v>
      </c>
      <c r="U93" s="20">
        <f>IF($T93="NO APLICA","NO APLICA",$T93*Configuración!$B$4)</f>
        <v>12840</v>
      </c>
      <c r="V93" s="20">
        <f>MAX(CEILING($O93/Configuración!$B$9,Configuración!$B$6),Configuración!$B$5)</f>
        <v>310</v>
      </c>
      <c r="W93" s="19" t="s">
        <v>277</v>
      </c>
      <c r="X93" s="33">
        <v>46079</v>
      </c>
      <c r="Y93" s="17"/>
    </row>
    <row r="94" spans="1:25" ht="15.6" x14ac:dyDescent="0.3">
      <c r="A94" s="19" t="str">
        <f>IF(OR(E94="",F94="",G94=""),"",E94&amp;"-"&amp;F94&amp;"-"&amp;G94&amp;"-"&amp;TEXT(COUNTIFS($E$2:E94,E94,$F$2:F94,F94,$G$2:G94,G94),"000"))</f>
        <v>LBL-EST-MET-002</v>
      </c>
      <c r="B94" s="19" t="s">
        <v>233</v>
      </c>
      <c r="C94" s="19" t="s">
        <v>415</v>
      </c>
      <c r="D94" s="19" t="s">
        <v>327</v>
      </c>
      <c r="E94" s="19" t="str">
        <f>_xlfn.XLOOKUP(B94,Configuración!A:A,Configuración!B:B,"")</f>
        <v>LBL</v>
      </c>
      <c r="F94" s="19" t="str" cm="1">
        <f t="array" ref="F94">IF($C94="","",_xlfn.XLOOKUP(1,(Configuración!D:D=$B94)*(Configuración!E:E=$C94),Configuración!F:F,""))</f>
        <v>EST</v>
      </c>
      <c r="G94" s="19" t="str">
        <f>IF($D94="","",_xlfn.XLOOKUP($D94,Configuración!H:H,Configuración!I:I,""))</f>
        <v>MET</v>
      </c>
      <c r="H94" s="19" t="s">
        <v>234</v>
      </c>
      <c r="I94" s="19" t="s">
        <v>234</v>
      </c>
      <c r="J94" s="19" t="s">
        <v>232</v>
      </c>
      <c r="K94" s="19" t="s">
        <v>276</v>
      </c>
      <c r="L94" s="20">
        <v>14000</v>
      </c>
      <c r="M94" s="20">
        <f t="shared" si="4"/>
        <v>3500</v>
      </c>
      <c r="N94" s="20">
        <f t="shared" si="5"/>
        <v>14000</v>
      </c>
      <c r="O94" s="20">
        <v>19995</v>
      </c>
      <c r="P94" s="19" t="str">
        <f>IF($O94&lt;Configuración!$B$7,"NO","SI")</f>
        <v>SI</v>
      </c>
      <c r="Q94" s="20">
        <f>IF($P94="NO","NO APLICA",MAX(CEILING(($O94*(1-Configuración!$B$2))/Configuración!$B$3,Configuración!$B$6),Configuración!$B$5))</f>
        <v>2000</v>
      </c>
      <c r="R94" s="20">
        <f>IF($Q94="NO APLICA","NO APLICA",$Q94*Configuración!$B$3)</f>
        <v>16000</v>
      </c>
      <c r="S94" s="19" t="str">
        <f>IF($O94&lt;Configuración!$B$8,"NO","SI")</f>
        <v>SI</v>
      </c>
      <c r="T94" s="20">
        <f>IF($S94="NO","NO APLICA",MAX(CEILING(($O94*(1-Configuración!$B$2))/Configuración!$B$4,Configuración!$B$6),Configuración!$B$5))</f>
        <v>1340</v>
      </c>
      <c r="U94" s="20">
        <f>IF($T94="NO APLICA","NO APLICA",$T94*Configuración!$B$4)</f>
        <v>16080</v>
      </c>
      <c r="V94" s="20">
        <f>MAX(CEILING($O94/Configuración!$B$9,Configuración!$B$6),Configuración!$B$5)</f>
        <v>390</v>
      </c>
      <c r="W94" s="19" t="s">
        <v>277</v>
      </c>
      <c r="X94" s="33">
        <v>46079</v>
      </c>
      <c r="Y94" s="17"/>
    </row>
    <row r="95" spans="1:25" ht="15.6" x14ac:dyDescent="0.3">
      <c r="A95" s="19" t="str">
        <f>IF(OR(E95="",F95="",G95=""),"",E95&amp;"-"&amp;F95&amp;"-"&amp;G95&amp;"-"&amp;TEXT(COUNTIFS($E$2:E98,E95,$F$2:F98,F95,$G$2:G98,G95),"000"))</f>
        <v>HOG-FRZ-ALG-002</v>
      </c>
      <c r="B95" s="19" t="s">
        <v>250</v>
      </c>
      <c r="C95" s="19" t="s">
        <v>505</v>
      </c>
      <c r="D95" s="19" t="s">
        <v>507</v>
      </c>
      <c r="E95" s="19" t="str">
        <f>_xlfn.XLOOKUP(B95,Configuración!A:A,Configuración!B:B,"")</f>
        <v>HOG</v>
      </c>
      <c r="F95" s="19" t="str" cm="1">
        <f t="array" ref="F95">IF($C95="","",_xlfn.XLOOKUP(1,(Configuración!D:D=$B95)*(Configuración!E:E=$C95),Configuración!F:F,""))</f>
        <v>FRZ</v>
      </c>
      <c r="G95" s="19" t="str">
        <f>IF($D95="","",_xlfn.XLOOKUP($D95,Configuración!H:H,Configuración!I:I,""))</f>
        <v>ALG</v>
      </c>
      <c r="H95" s="19" t="s">
        <v>501</v>
      </c>
      <c r="I95" s="19" t="s">
        <v>501</v>
      </c>
      <c r="J95" s="19" t="s">
        <v>156</v>
      </c>
      <c r="K95" s="19"/>
      <c r="L95" s="20">
        <v>350</v>
      </c>
      <c r="M95" s="20">
        <f t="shared" si="4"/>
        <v>100</v>
      </c>
      <c r="N95" s="20">
        <f t="shared" si="5"/>
        <v>400</v>
      </c>
      <c r="O95" s="20">
        <v>500</v>
      </c>
      <c r="P95" s="19" t="str">
        <f>IF($O95&lt;Configuración!$B$7,"NO","SI")</f>
        <v>NO</v>
      </c>
      <c r="Q95" s="20" t="str">
        <f>IF($P95="NO","NO APLICA",MAX(CEILING(($O95*(1-Configuración!$B$2))/Configuración!$B$3,Configuración!$B$6),Configuración!$B$5))</f>
        <v>NO APLICA</v>
      </c>
      <c r="R95" s="20" t="str">
        <f>IF($Q95="NO APLICA","NO APLICA",$Q95*Configuración!$B$3)</f>
        <v>NO APLICA</v>
      </c>
      <c r="S95" s="19" t="str">
        <f>IF($O95&lt;Configuración!$B$8,"NO","SI")</f>
        <v>NO</v>
      </c>
      <c r="T95" s="20" t="str">
        <f>IF($S95="NO","NO APLICA",MAX(CEILING(($O95*(1-Configuración!$B$2))/Configuración!$B$4,Configuración!$B$6),Configuración!$B$5))</f>
        <v>NO APLICA</v>
      </c>
      <c r="U95" s="20" t="str">
        <f>IF($T95="NO APLICA","NO APLICA",$T95*Configuración!$B$4)</f>
        <v>NO APLICA</v>
      </c>
      <c r="V95" s="20">
        <f>MAX(CEILING($O95/Configuración!$B$9,Configuración!$B$6),Configuración!$B$5)</f>
        <v>100</v>
      </c>
      <c r="W95" s="19"/>
      <c r="X95" s="33"/>
      <c r="Y95" s="17"/>
    </row>
    <row r="96" spans="1:25" ht="15.6" x14ac:dyDescent="0.3">
      <c r="A96" s="19" t="str">
        <f>IF(OR(E96="",F96="",G96=""),"",E96&amp;"-"&amp;F96&amp;"-"&amp;G96&amp;"-"&amp;TEXT(COUNTIFS($E$2:E96,E96,$F$2:F96,F96,$G$2:G96,G96),"000"))</f>
        <v>COC-BAT-ALU-005</v>
      </c>
      <c r="B96" s="19" t="s">
        <v>18</v>
      </c>
      <c r="C96" s="19" t="s">
        <v>314</v>
      </c>
      <c r="D96" s="19" t="s">
        <v>358</v>
      </c>
      <c r="E96" s="19" t="str">
        <f>_xlfn.XLOOKUP(B96,Configuración!A:A,Configuración!B:B,"")</f>
        <v>COC</v>
      </c>
      <c r="F96" s="19" t="str" cm="1">
        <f t="array" ref="F96">IF($C96="","",_xlfn.XLOOKUP(1,(Configuración!D:D=$B96)*(Configuración!E:E=$C96),Configuración!F:F,""))</f>
        <v>BAT</v>
      </c>
      <c r="G96" s="19" t="str">
        <f>IF($D96="","",_xlfn.XLOOKUP($D96,Configuración!H:H,Configuración!I:I,""))</f>
        <v>ALU</v>
      </c>
      <c r="H96" s="19" t="s">
        <v>42</v>
      </c>
      <c r="I96" s="19" t="s">
        <v>440</v>
      </c>
      <c r="J96" s="19" t="s">
        <v>32</v>
      </c>
      <c r="K96" s="19" t="s">
        <v>498</v>
      </c>
      <c r="L96" s="20">
        <v>2100</v>
      </c>
      <c r="M96" s="20">
        <f t="shared" si="4"/>
        <v>530</v>
      </c>
      <c r="N96" s="20">
        <f t="shared" si="5"/>
        <v>2120</v>
      </c>
      <c r="O96" s="20">
        <v>3000</v>
      </c>
      <c r="P96" s="19" t="str">
        <f>IF($O96&lt;Configuración!$B$7,"NO","SI")</f>
        <v>SI</v>
      </c>
      <c r="Q96" s="20">
        <f>IF($P96="NO","NO APLICA",MAX(CEILING(($O96*(1-Configuración!$B$2))/Configuración!$B$3,Configuración!$B$6),Configuración!$B$5))</f>
        <v>300</v>
      </c>
      <c r="R96" s="20">
        <f>IF($Q96="NO APLICA","NO APLICA",$Q96*Configuración!$B$3)</f>
        <v>2400</v>
      </c>
      <c r="S96" s="19" t="str">
        <f>IF($O96&lt;Configuración!$B$8,"NO","SI")</f>
        <v>SI</v>
      </c>
      <c r="T96" s="20">
        <f>IF($S96="NO","NO APLICA",MAX(CEILING(($O96*(1-Configuración!$B$2))/Configuración!$B$4,Configuración!$B$6),Configuración!$B$5))</f>
        <v>200</v>
      </c>
      <c r="U96" s="20">
        <f>IF($T96="NO APLICA","NO APLICA",$T96*Configuración!$B$4)</f>
        <v>2400</v>
      </c>
      <c r="V96" s="20">
        <f>MAX(CEILING($O96/Configuración!$B$9,Configuración!$B$6),Configuración!$B$5)</f>
        <v>100</v>
      </c>
      <c r="W96" s="19" t="s">
        <v>277</v>
      </c>
      <c r="X96" s="33">
        <v>46079</v>
      </c>
      <c r="Y96" s="17"/>
    </row>
    <row r="97" spans="1:25" ht="15.6" x14ac:dyDescent="0.3">
      <c r="A97" s="19" t="str">
        <f>IF(OR(E97="",F97="",G97=""),"",E97&amp;"-"&amp;F97&amp;"-"&amp;G97&amp;"-"&amp;TEXT(COUNTIFS($E$2:E97,E97,$F$2:F97,F97,$G$2:G97,G97),"000"))</f>
        <v>COC-BAT-ALU-006</v>
      </c>
      <c r="B97" s="19" t="s">
        <v>18</v>
      </c>
      <c r="C97" s="19" t="s">
        <v>314</v>
      </c>
      <c r="D97" s="19" t="s">
        <v>358</v>
      </c>
      <c r="E97" s="19" t="str">
        <f>_xlfn.XLOOKUP(B97,Configuración!A:A,Configuración!B:B,"")</f>
        <v>COC</v>
      </c>
      <c r="F97" s="19" t="str" cm="1">
        <f t="array" ref="F97">IF($C97="","",_xlfn.XLOOKUP(1,(Configuración!D:D=$B97)*(Configuración!E:E=$C97),Configuración!F:F,""))</f>
        <v>BAT</v>
      </c>
      <c r="G97" s="19" t="str">
        <f>IF($D97="","",_xlfn.XLOOKUP($D97,Configuración!H:H,Configuración!I:I,""))</f>
        <v>ALU</v>
      </c>
      <c r="H97" s="19" t="s">
        <v>43</v>
      </c>
      <c r="I97" s="19" t="s">
        <v>441</v>
      </c>
      <c r="J97" s="19" t="s">
        <v>34</v>
      </c>
      <c r="K97" s="19" t="s">
        <v>498</v>
      </c>
      <c r="L97" s="20">
        <v>2100</v>
      </c>
      <c r="M97" s="20">
        <f t="shared" si="4"/>
        <v>530</v>
      </c>
      <c r="N97" s="20">
        <f t="shared" si="5"/>
        <v>2120</v>
      </c>
      <c r="O97" s="20">
        <v>3000</v>
      </c>
      <c r="P97" s="19" t="str">
        <f>IF($O97&lt;Configuración!$B$7,"NO","SI")</f>
        <v>SI</v>
      </c>
      <c r="Q97" s="20">
        <f>IF($P97="NO","NO APLICA",MAX(CEILING(($O97*(1-Configuración!$B$2))/Configuración!$B$3,Configuración!$B$6),Configuración!$B$5))</f>
        <v>300</v>
      </c>
      <c r="R97" s="20">
        <f>IF($Q97="NO APLICA","NO APLICA",$Q97*Configuración!$B$3)</f>
        <v>2400</v>
      </c>
      <c r="S97" s="19" t="str">
        <f>IF($O97&lt;Configuración!$B$8,"NO","SI")</f>
        <v>SI</v>
      </c>
      <c r="T97" s="20">
        <f>IF($S97="NO","NO APLICA",MAX(CEILING(($O97*(1-Configuración!$B$2))/Configuración!$B$4,Configuración!$B$6),Configuración!$B$5))</f>
        <v>200</v>
      </c>
      <c r="U97" s="20">
        <f>IF($T97="NO APLICA","NO APLICA",$T97*Configuración!$B$4)</f>
        <v>2400</v>
      </c>
      <c r="V97" s="20">
        <f>MAX(CEILING($O97/Configuración!$B$9,Configuración!$B$6),Configuración!$B$5)</f>
        <v>100</v>
      </c>
      <c r="W97" s="19" t="s">
        <v>277</v>
      </c>
      <c r="X97" s="33">
        <v>46079</v>
      </c>
      <c r="Y97" s="17"/>
    </row>
    <row r="98" spans="1:25" ht="15.6" x14ac:dyDescent="0.3">
      <c r="A98" s="19" t="str">
        <f>IF(OR(E98="",F98="",G98=""),"",E98&amp;"-"&amp;F98&amp;"-"&amp;G98&amp;"-"&amp;TEXT(COUNTIFS($E$2:E98,E98,$F$2:F98,F98,$G$2:G98,G98),"000"))</f>
        <v>COC-BUD-ALU-002</v>
      </c>
      <c r="B98" s="19" t="s">
        <v>18</v>
      </c>
      <c r="C98" s="19" t="s">
        <v>312</v>
      </c>
      <c r="D98" s="19" t="s">
        <v>358</v>
      </c>
      <c r="E98" s="19" t="str">
        <f>_xlfn.XLOOKUP(B98,Configuración!A:A,Configuración!B:B,"")</f>
        <v>COC</v>
      </c>
      <c r="F98" s="19" t="str" cm="1">
        <f t="array" ref="F98">IF($C98="","",_xlfn.XLOOKUP(1,(Configuración!D:D=$B98)*(Configuración!E:E=$C98),Configuración!F:F,""))</f>
        <v>BUD</v>
      </c>
      <c r="G98" s="19" t="str">
        <f>IF($D98="","",_xlfn.XLOOKUP($D98,Configuración!H:H,Configuración!I:I,""))</f>
        <v>ALU</v>
      </c>
      <c r="H98" s="19" t="s">
        <v>44</v>
      </c>
      <c r="I98" s="19" t="s">
        <v>44</v>
      </c>
      <c r="J98" s="19" t="s">
        <v>34</v>
      </c>
      <c r="K98" s="19" t="s">
        <v>498</v>
      </c>
      <c r="L98" s="20">
        <v>1750</v>
      </c>
      <c r="M98" s="20">
        <f t="shared" ref="M98:M129" si="6">MAX(CEILING(L98/4,10),100)</f>
        <v>440</v>
      </c>
      <c r="N98" s="20">
        <f t="shared" ref="N98:N129" si="7">M98*4</f>
        <v>1760</v>
      </c>
      <c r="O98" s="20">
        <v>2500</v>
      </c>
      <c r="P98" s="19" t="str">
        <f>IF($O98&lt;Configuración!$B$7,"NO","SI")</f>
        <v>SI</v>
      </c>
      <c r="Q98" s="20">
        <f>IF($P98="NO","NO APLICA",MAX(CEILING(($O98*(1-Configuración!$B$2))/Configuración!$B$3,Configuración!$B$6),Configuración!$B$5))</f>
        <v>250</v>
      </c>
      <c r="R98" s="20">
        <f>IF($Q98="NO APLICA","NO APLICA",$Q98*Configuración!$B$3)</f>
        <v>2000</v>
      </c>
      <c r="S98" s="19" t="str">
        <f>IF($O98&lt;Configuración!$B$8,"NO","SI")</f>
        <v>NO</v>
      </c>
      <c r="T98" s="20" t="str">
        <f>IF($S98="NO","NO APLICA",MAX(CEILING(($O98*(1-Configuración!$B$2))/Configuración!$B$4,Configuración!$B$6),Configuración!$B$5))</f>
        <v>NO APLICA</v>
      </c>
      <c r="U98" s="20" t="str">
        <f>IF($T98="NO APLICA","NO APLICA",$T98*Configuración!$B$4)</f>
        <v>NO APLICA</v>
      </c>
      <c r="V98" s="20">
        <f>MAX(CEILING($O98/Configuración!$B$9,Configuración!$B$6),Configuración!$B$5)</f>
        <v>100</v>
      </c>
      <c r="W98" s="19" t="s">
        <v>277</v>
      </c>
      <c r="X98" s="33">
        <v>46079</v>
      </c>
      <c r="Y98" s="17"/>
    </row>
    <row r="99" spans="1:25" ht="15.6" x14ac:dyDescent="0.3">
      <c r="A99" s="19" t="str">
        <f>IF(OR(E99="",F99="",G99=""),"",E99&amp;"-"&amp;F99&amp;"-"&amp;G99&amp;"-"&amp;TEXT(COUNTIFS($E$2:E99,E99,$F$2:F99,F99,$G$2:G99,G99),"000"))</f>
        <v>COC-BUD-PEL-001</v>
      </c>
      <c r="B99" s="19" t="s">
        <v>18</v>
      </c>
      <c r="C99" s="19" t="s">
        <v>312</v>
      </c>
      <c r="D99" s="19" t="s">
        <v>364</v>
      </c>
      <c r="E99" s="19" t="str">
        <f>_xlfn.XLOOKUP(B99,Configuración!A:A,Configuración!B:B,"")</f>
        <v>COC</v>
      </c>
      <c r="F99" s="19" t="str" cm="1">
        <f t="array" ref="F99">IF($C99="","",_xlfn.XLOOKUP(1,(Configuración!D:D=$B99)*(Configuración!E:E=$C99),Configuración!F:F,""))</f>
        <v>BUD</v>
      </c>
      <c r="G99" s="19" t="str">
        <f>IF($D99="","",_xlfn.XLOOKUP($D99,Configuración!H:H,Configuración!I:I,""))</f>
        <v>PEL</v>
      </c>
      <c r="H99" s="19" t="s">
        <v>84</v>
      </c>
      <c r="I99" s="19" t="s">
        <v>466</v>
      </c>
      <c r="J99" s="19" t="s">
        <v>70</v>
      </c>
      <c r="K99" s="19" t="s">
        <v>498</v>
      </c>
      <c r="L99" s="20">
        <v>3500</v>
      </c>
      <c r="M99" s="20">
        <f t="shared" si="6"/>
        <v>880</v>
      </c>
      <c r="N99" s="20">
        <f t="shared" si="7"/>
        <v>3520</v>
      </c>
      <c r="O99" s="20">
        <v>5000</v>
      </c>
      <c r="P99" s="19" t="str">
        <f>IF($O99&lt;Configuración!$B$7,"NO","SI")</f>
        <v>SI</v>
      </c>
      <c r="Q99" s="20">
        <f>IF($P99="NO","NO APLICA",MAX(CEILING(($O99*(1-Configuración!$B$2))/Configuración!$B$3,Configuración!$B$6),Configuración!$B$5))</f>
        <v>500</v>
      </c>
      <c r="R99" s="20">
        <f>IF($Q99="NO APLICA","NO APLICA",$Q99*Configuración!$B$3)</f>
        <v>4000</v>
      </c>
      <c r="S99" s="19" t="str">
        <f>IF($O99&lt;Configuración!$B$8,"NO","SI")</f>
        <v>SI</v>
      </c>
      <c r="T99" s="20">
        <f>IF($S99="NO","NO APLICA",MAX(CEILING(($O99*(1-Configuración!$B$2))/Configuración!$B$4,Configuración!$B$6),Configuración!$B$5))</f>
        <v>340</v>
      </c>
      <c r="U99" s="20">
        <f>IF($T99="NO APLICA","NO APLICA",$T99*Configuración!$B$4)</f>
        <v>4080</v>
      </c>
      <c r="V99" s="20">
        <f>MAX(CEILING($O99/Configuración!$B$9,Configuración!$B$6),Configuración!$B$5)</f>
        <v>100</v>
      </c>
      <c r="W99" s="19" t="s">
        <v>277</v>
      </c>
      <c r="X99" s="33">
        <v>46079</v>
      </c>
      <c r="Y99" s="17"/>
    </row>
    <row r="100" spans="1:25" ht="15.6" x14ac:dyDescent="0.3">
      <c r="A100" s="19" t="str">
        <f>IF(OR(E100="",F100="",G100=""),"",E100&amp;"-"&amp;F100&amp;"-"&amp;G100&amp;"-"&amp;TEXT(COUNTIFS($E$2:E100,E100,$F$2:F100,F100,$G$2:G100,G100),"000"))</f>
        <v>COC-OLL-PEL-001</v>
      </c>
      <c r="B100" s="19" t="s">
        <v>18</v>
      </c>
      <c r="C100" s="19" t="s">
        <v>332</v>
      </c>
      <c r="D100" s="19" t="s">
        <v>364</v>
      </c>
      <c r="E100" s="19" t="str">
        <f>_xlfn.XLOOKUP(B100,Configuración!A:A,Configuración!B:B,"")</f>
        <v>COC</v>
      </c>
      <c r="F100" s="19" t="str" cm="1">
        <f t="array" ref="F100">IF($C100="","",_xlfn.XLOOKUP(1,(Configuración!D:D=$B100)*(Configuración!E:E=$C100),Configuración!F:F,""))</f>
        <v>OLL</v>
      </c>
      <c r="G100" s="19" t="str">
        <f>IF($D100="","",_xlfn.XLOOKUP($D100,Configuración!H:H,Configuración!I:I,""))</f>
        <v>PEL</v>
      </c>
      <c r="H100" s="19" t="s">
        <v>85</v>
      </c>
      <c r="I100" s="19" t="s">
        <v>467</v>
      </c>
      <c r="J100" s="19" t="s">
        <v>70</v>
      </c>
      <c r="K100" s="19" t="s">
        <v>498</v>
      </c>
      <c r="L100" s="20">
        <v>3850</v>
      </c>
      <c r="M100" s="20">
        <f t="shared" si="6"/>
        <v>970</v>
      </c>
      <c r="N100" s="20">
        <f t="shared" si="7"/>
        <v>3880</v>
      </c>
      <c r="O100" s="20">
        <v>5500</v>
      </c>
      <c r="P100" s="19" t="str">
        <f>IF($O100&lt;Configuración!$B$7,"NO","SI")</f>
        <v>SI</v>
      </c>
      <c r="Q100" s="20">
        <f>IF($P100="NO","NO APLICA",MAX(CEILING(($O100*(1-Configuración!$B$2))/Configuración!$B$3,Configuración!$B$6),Configuración!$B$5))</f>
        <v>550</v>
      </c>
      <c r="R100" s="20">
        <f>IF($Q100="NO APLICA","NO APLICA",$Q100*Configuración!$B$3)</f>
        <v>4400</v>
      </c>
      <c r="S100" s="19" t="str">
        <f>IF($O100&lt;Configuración!$B$8,"NO","SI")</f>
        <v>SI</v>
      </c>
      <c r="T100" s="20">
        <f>IF($S100="NO","NO APLICA",MAX(CEILING(($O100*(1-Configuración!$B$2))/Configuración!$B$4,Configuración!$B$6),Configuración!$B$5))</f>
        <v>370</v>
      </c>
      <c r="U100" s="20">
        <f>IF($T100="NO APLICA","NO APLICA",$T100*Configuración!$B$4)</f>
        <v>4440</v>
      </c>
      <c r="V100" s="20">
        <f>MAX(CEILING($O100/Configuración!$B$9,Configuración!$B$6),Configuración!$B$5)</f>
        <v>110</v>
      </c>
      <c r="W100" s="19" t="s">
        <v>277</v>
      </c>
      <c r="X100" s="33">
        <v>46079</v>
      </c>
      <c r="Y100" s="17"/>
    </row>
    <row r="101" spans="1:25" ht="15.6" x14ac:dyDescent="0.3">
      <c r="A101" s="19" t="str">
        <f>IF(OR(E101="",F101="",G101=""),"",E101&amp;"-"&amp;F101&amp;"-"&amp;G101&amp;"-"&amp;TEXT(COUNTIFS($E$2:E101,E101,$F$2:F101,F101,$G$2:G101,G101),"000"))</f>
        <v>COC-VAP-ALU-001</v>
      </c>
      <c r="B101" s="19" t="s">
        <v>18</v>
      </c>
      <c r="C101" s="19" t="s">
        <v>310</v>
      </c>
      <c r="D101" s="19" t="s">
        <v>358</v>
      </c>
      <c r="E101" s="19" t="str">
        <f>_xlfn.XLOOKUP(B101,Configuración!A:A,Configuración!B:B,"")</f>
        <v>COC</v>
      </c>
      <c r="F101" s="19" t="str" cm="1">
        <f t="array" ref="F101">IF($C101="","",_xlfn.XLOOKUP(1,(Configuración!D:D=$B101)*(Configuración!E:E=$C101),Configuración!F:F,""))</f>
        <v>VAP</v>
      </c>
      <c r="G101" s="19" t="str">
        <f>IF($D101="","",_xlfn.XLOOKUP($D101,Configuración!H:H,Configuración!I:I,""))</f>
        <v>ALU</v>
      </c>
      <c r="H101" s="19" t="s">
        <v>41</v>
      </c>
      <c r="I101" s="19" t="s">
        <v>439</v>
      </c>
      <c r="J101" s="19" t="s">
        <v>32</v>
      </c>
      <c r="K101" s="19" t="s">
        <v>498</v>
      </c>
      <c r="L101" s="20">
        <v>2170</v>
      </c>
      <c r="M101" s="20">
        <f t="shared" si="6"/>
        <v>550</v>
      </c>
      <c r="N101" s="20">
        <f t="shared" si="7"/>
        <v>2200</v>
      </c>
      <c r="O101" s="20">
        <v>3100</v>
      </c>
      <c r="P101" s="19" t="str">
        <f>IF($O101&lt;Configuración!$B$7,"NO","SI")</f>
        <v>SI</v>
      </c>
      <c r="Q101" s="20">
        <f>IF($P101="NO","NO APLICA",MAX(CEILING(($O101*(1-Configuración!$B$2))/Configuración!$B$3,Configuración!$B$6),Configuración!$B$5))</f>
        <v>310</v>
      </c>
      <c r="R101" s="20">
        <f>IF($Q101="NO APLICA","NO APLICA",$Q101*Configuración!$B$3)</f>
        <v>2480</v>
      </c>
      <c r="S101" s="19" t="str">
        <f>IF($O101&lt;Configuración!$B$8,"NO","SI")</f>
        <v>SI</v>
      </c>
      <c r="T101" s="20">
        <f>IF($S101="NO","NO APLICA",MAX(CEILING(($O101*(1-Configuración!$B$2))/Configuración!$B$4,Configuración!$B$6),Configuración!$B$5))</f>
        <v>210</v>
      </c>
      <c r="U101" s="20">
        <f>IF($T101="NO APLICA","NO APLICA",$T101*Configuración!$B$4)</f>
        <v>2520</v>
      </c>
      <c r="V101" s="20">
        <f>MAX(CEILING($O101/Configuración!$B$9,Configuración!$B$6),Configuración!$B$5)</f>
        <v>100</v>
      </c>
      <c r="W101" s="19" t="s">
        <v>277</v>
      </c>
      <c r="X101" s="33">
        <v>46079</v>
      </c>
      <c r="Y101" s="17"/>
    </row>
    <row r="102" spans="1:25" ht="15.6" x14ac:dyDescent="0.3">
      <c r="A102" s="19" t="str">
        <f>IF(OR(E102="",F102="",G102=""),"",E102&amp;"-"&amp;F102&amp;"-"&amp;G102&amp;"-"&amp;TEXT(COUNTIFS($E$2:E102,E102,$F$2:F102,F102,$G$2:G102,G102),"000"))</f>
        <v>COC-VAP-ACI-001</v>
      </c>
      <c r="B102" s="19" t="s">
        <v>18</v>
      </c>
      <c r="C102" s="19" t="s">
        <v>310</v>
      </c>
      <c r="D102" s="19" t="s">
        <v>94</v>
      </c>
      <c r="E102" s="19" t="str">
        <f>_xlfn.XLOOKUP(B102,Configuración!A:A,Configuración!B:B,"")</f>
        <v>COC</v>
      </c>
      <c r="F102" s="19" t="str" cm="1">
        <f t="array" ref="F102">IF($C102="","",_xlfn.XLOOKUP(1,(Configuración!D:D=$B102)*(Configuración!E:E=$C102),Configuración!F:F,""))</f>
        <v>VAP</v>
      </c>
      <c r="G102" s="19" t="str">
        <f>IF($D102="","",_xlfn.XLOOKUP($D102,Configuración!H:H,Configuración!I:I,""))</f>
        <v>ACI</v>
      </c>
      <c r="H102" s="19" t="s">
        <v>98</v>
      </c>
      <c r="I102" s="19" t="s">
        <v>477</v>
      </c>
      <c r="J102" s="19" t="s">
        <v>96</v>
      </c>
      <c r="K102" s="19" t="s">
        <v>498</v>
      </c>
      <c r="L102" s="20">
        <v>5380</v>
      </c>
      <c r="M102" s="20">
        <f t="shared" si="6"/>
        <v>1350</v>
      </c>
      <c r="N102" s="20">
        <f t="shared" si="7"/>
        <v>5400</v>
      </c>
      <c r="O102" s="20">
        <v>7690</v>
      </c>
      <c r="P102" s="19" t="str">
        <f>IF($O102&lt;Configuración!$B$7,"NO","SI")</f>
        <v>SI</v>
      </c>
      <c r="Q102" s="20">
        <f>IF($P102="NO","NO APLICA",MAX(CEILING(($O102*(1-Configuración!$B$2))/Configuración!$B$3,Configuración!$B$6),Configuración!$B$5))</f>
        <v>770</v>
      </c>
      <c r="R102" s="20">
        <f>IF($Q102="NO APLICA","NO APLICA",$Q102*Configuración!$B$3)</f>
        <v>6160</v>
      </c>
      <c r="S102" s="19" t="str">
        <f>IF($O102&lt;Configuración!$B$8,"NO","SI")</f>
        <v>SI</v>
      </c>
      <c r="T102" s="20">
        <f>IF($S102="NO","NO APLICA",MAX(CEILING(($O102*(1-Configuración!$B$2))/Configuración!$B$4,Configuración!$B$6),Configuración!$B$5))</f>
        <v>520</v>
      </c>
      <c r="U102" s="20">
        <f>IF($T102="NO APLICA","NO APLICA",$T102*Configuración!$B$4)</f>
        <v>6240</v>
      </c>
      <c r="V102" s="20">
        <f>MAX(CEILING($O102/Configuración!$B$9,Configuración!$B$6),Configuración!$B$5)</f>
        <v>150</v>
      </c>
      <c r="W102" s="19" t="s">
        <v>277</v>
      </c>
      <c r="X102" s="33">
        <v>46079</v>
      </c>
      <c r="Y102" s="17"/>
    </row>
    <row r="103" spans="1:25" ht="15.6" x14ac:dyDescent="0.3">
      <c r="A103" s="19" t="str">
        <f>IF(OR(E103="",F103="",G103=""),"",E103&amp;"-"&amp;F103&amp;"-"&amp;G103&amp;"-"&amp;TEXT(COUNTIFS($E$2:E103,E103,$F$2:F103,F103,$G$2:G103,G103),"000"))</f>
        <v>COC-BUD-ALU-003</v>
      </c>
      <c r="B103" s="19" t="s">
        <v>18</v>
      </c>
      <c r="C103" s="19" t="s">
        <v>312</v>
      </c>
      <c r="D103" s="19" t="s">
        <v>358</v>
      </c>
      <c r="E103" s="19" t="str">
        <f>_xlfn.XLOOKUP(B103,Configuración!A:A,Configuración!B:B,"")</f>
        <v>COC</v>
      </c>
      <c r="F103" s="19" t="str" cm="1">
        <f t="array" ref="F103">IF($C103="","",_xlfn.XLOOKUP(1,(Configuración!D:D=$B103)*(Configuración!E:E=$C103),Configuración!F:F,""))</f>
        <v>BUD</v>
      </c>
      <c r="G103" s="19" t="str">
        <f>IF($D103="","",_xlfn.XLOOKUP($D103,Configuración!H:H,Configuración!I:I,""))</f>
        <v>ALU</v>
      </c>
      <c r="H103" s="19" t="s">
        <v>45</v>
      </c>
      <c r="I103" s="19" t="s">
        <v>45</v>
      </c>
      <c r="J103" s="19" t="s">
        <v>34</v>
      </c>
      <c r="K103" s="19" t="s">
        <v>498</v>
      </c>
      <c r="L103" s="20">
        <v>2450</v>
      </c>
      <c r="M103" s="20">
        <f t="shared" si="6"/>
        <v>620</v>
      </c>
      <c r="N103" s="20">
        <f t="shared" si="7"/>
        <v>2480</v>
      </c>
      <c r="O103" s="20">
        <v>3500</v>
      </c>
      <c r="P103" s="19" t="str">
        <f>IF($O103&lt;Configuración!$B$7,"NO","SI")</f>
        <v>SI</v>
      </c>
      <c r="Q103" s="20">
        <f>IF($P103="NO","NO APLICA",MAX(CEILING(($O103*(1-Configuración!$B$2))/Configuración!$B$3,Configuración!$B$6),Configuración!$B$5))</f>
        <v>350</v>
      </c>
      <c r="R103" s="20">
        <f>IF($Q103="NO APLICA","NO APLICA",$Q103*Configuración!$B$3)</f>
        <v>2800</v>
      </c>
      <c r="S103" s="19" t="str">
        <f>IF($O103&lt;Configuración!$B$8,"NO","SI")</f>
        <v>SI</v>
      </c>
      <c r="T103" s="20">
        <f>IF($S103="NO","NO APLICA",MAX(CEILING(($O103*(1-Configuración!$B$2))/Configuración!$B$4,Configuración!$B$6),Configuración!$B$5))</f>
        <v>240</v>
      </c>
      <c r="U103" s="20">
        <f>IF($T103="NO APLICA","NO APLICA",$T103*Configuración!$B$4)</f>
        <v>2880</v>
      </c>
      <c r="V103" s="20">
        <f>MAX(CEILING($O103/Configuración!$B$9,Configuración!$B$6),Configuración!$B$5)</f>
        <v>100</v>
      </c>
      <c r="W103" s="19" t="s">
        <v>277</v>
      </c>
      <c r="X103" s="33">
        <v>46079</v>
      </c>
      <c r="Y103" s="17"/>
    </row>
    <row r="104" spans="1:25" ht="15.6" x14ac:dyDescent="0.3">
      <c r="A104" s="19" t="str">
        <f>IF(OR(E104="",F104="",G104=""),"",E104&amp;"-"&amp;F104&amp;"-"&amp;G104&amp;"-"&amp;TEXT(COUNTIFS($E$2:E104,E104,$F$2:F104,F104,$G$2:G104,G104),"000"))</f>
        <v>PLA-LAV-PSL-001</v>
      </c>
      <c r="B104" s="19" t="s">
        <v>135</v>
      </c>
      <c r="C104" s="19" t="s">
        <v>370</v>
      </c>
      <c r="D104" s="19" t="s">
        <v>328</v>
      </c>
      <c r="E104" s="19" t="str">
        <f>_xlfn.XLOOKUP(B104,Configuración!A:A,Configuración!B:B,"")</f>
        <v>PLA</v>
      </c>
      <c r="F104" s="19" t="str" cm="1">
        <f t="array" ref="F104">IF($C104="","",_xlfn.XLOOKUP(1,(Configuración!D:D=$B104)*(Configuración!E:E=$C104),Configuración!F:F,""))</f>
        <v>LAV</v>
      </c>
      <c r="G104" s="19" t="str">
        <f>IF($D104="","",_xlfn.XLOOKUP($D104,Configuración!H:H,Configuración!I:I,""))</f>
        <v>PSL</v>
      </c>
      <c r="H104" s="19" t="s">
        <v>152</v>
      </c>
      <c r="I104" s="19" t="s">
        <v>152</v>
      </c>
      <c r="J104" s="19" t="s">
        <v>137</v>
      </c>
      <c r="K104" s="19" t="s">
        <v>276</v>
      </c>
      <c r="L104" s="20">
        <v>770</v>
      </c>
      <c r="M104" s="20">
        <f t="shared" si="6"/>
        <v>200</v>
      </c>
      <c r="N104" s="20">
        <f t="shared" si="7"/>
        <v>800</v>
      </c>
      <c r="O104" s="20">
        <v>1100</v>
      </c>
      <c r="P104" s="19" t="str">
        <f>IF($O104&lt;Configuración!$B$7,"NO","SI")</f>
        <v>NO</v>
      </c>
      <c r="Q104" s="20" t="str">
        <f>IF($P104="NO","NO APLICA",MAX(CEILING(($O104*(1-Configuración!$B$2))/Configuración!$B$3,Configuración!$B$6),Configuración!$B$5))</f>
        <v>NO APLICA</v>
      </c>
      <c r="R104" s="20" t="str">
        <f>IF($Q104="NO APLICA","NO APLICA",$Q104*Configuración!$B$3)</f>
        <v>NO APLICA</v>
      </c>
      <c r="S104" s="19" t="str">
        <f>IF($O104&lt;Configuración!$B$8,"NO","SI")</f>
        <v>NO</v>
      </c>
      <c r="T104" s="20" t="str">
        <f>IF($S104="NO","NO APLICA",MAX(CEILING(($O104*(1-Configuración!$B$2))/Configuración!$B$4,Configuración!$B$6),Configuración!$B$5))</f>
        <v>NO APLICA</v>
      </c>
      <c r="U104" s="20" t="str">
        <f>IF($T104="NO APLICA","NO APLICA",$T104*Configuración!$B$4)</f>
        <v>NO APLICA</v>
      </c>
      <c r="V104" s="20">
        <f>MAX(CEILING($O104/Configuración!$B$9,Configuración!$B$6),Configuración!$B$5)</f>
        <v>100</v>
      </c>
      <c r="W104" s="19" t="s">
        <v>277</v>
      </c>
      <c r="X104" s="33">
        <v>46079</v>
      </c>
      <c r="Y104" s="17"/>
    </row>
    <row r="105" spans="1:25" ht="15.6" x14ac:dyDescent="0.3">
      <c r="A105" s="19" t="str">
        <f>IF(OR(E105="",F105="",G105=""),"",E105&amp;"-"&amp;F105&amp;"-"&amp;G105&amp;"-"&amp;TEXT(COUNTIFS($E$2:E105,E105,$F$2:F105,F105,$G$2:G105,G105),"000"))</f>
        <v>PLA-LAV-PSL-002</v>
      </c>
      <c r="B105" s="19" t="s">
        <v>135</v>
      </c>
      <c r="C105" s="19" t="s">
        <v>370</v>
      </c>
      <c r="D105" s="19" t="s">
        <v>328</v>
      </c>
      <c r="E105" s="19" t="str">
        <f>_xlfn.XLOOKUP(B105,Configuración!A:A,Configuración!B:B,"")</f>
        <v>PLA</v>
      </c>
      <c r="F105" s="19" t="str" cm="1">
        <f t="array" ref="F105">IF($C105="","",_xlfn.XLOOKUP(1,(Configuración!D:D=$B105)*(Configuración!E:E=$C105),Configuración!F:F,""))</f>
        <v>LAV</v>
      </c>
      <c r="G105" s="19" t="str">
        <f>IF($D105="","",_xlfn.XLOOKUP($D105,Configuración!H:H,Configuración!I:I,""))</f>
        <v>PSL</v>
      </c>
      <c r="H105" s="19" t="s">
        <v>153</v>
      </c>
      <c r="I105" s="19" t="s">
        <v>153</v>
      </c>
      <c r="J105" s="19" t="s">
        <v>139</v>
      </c>
      <c r="K105" s="19" t="s">
        <v>276</v>
      </c>
      <c r="L105" s="20">
        <v>910</v>
      </c>
      <c r="M105" s="20">
        <f t="shared" si="6"/>
        <v>230</v>
      </c>
      <c r="N105" s="20">
        <f t="shared" si="7"/>
        <v>920</v>
      </c>
      <c r="O105" s="20">
        <v>1300</v>
      </c>
      <c r="P105" s="19" t="str">
        <f>IF($O105&lt;Configuración!$B$7,"NO","SI")</f>
        <v>NO</v>
      </c>
      <c r="Q105" s="20" t="str">
        <f>IF($P105="NO","NO APLICA",MAX(CEILING(($O105*(1-Configuración!$B$2))/Configuración!$B$3,Configuración!$B$6),Configuración!$B$5))</f>
        <v>NO APLICA</v>
      </c>
      <c r="R105" s="20" t="str">
        <f>IF($Q105="NO APLICA","NO APLICA",$Q105*Configuración!$B$3)</f>
        <v>NO APLICA</v>
      </c>
      <c r="S105" s="19" t="str">
        <f>IF($O105&lt;Configuración!$B$8,"NO","SI")</f>
        <v>NO</v>
      </c>
      <c r="T105" s="20" t="str">
        <f>IF($S105="NO","NO APLICA",MAX(CEILING(($O105*(1-Configuración!$B$2))/Configuración!$B$4,Configuración!$B$6),Configuración!$B$5))</f>
        <v>NO APLICA</v>
      </c>
      <c r="U105" s="20" t="str">
        <f>IF($T105="NO APLICA","NO APLICA",$T105*Configuración!$B$4)</f>
        <v>NO APLICA</v>
      </c>
      <c r="V105" s="20">
        <f>MAX(CEILING($O105/Configuración!$B$9,Configuración!$B$6),Configuración!$B$5)</f>
        <v>100</v>
      </c>
      <c r="W105" s="19" t="s">
        <v>277</v>
      </c>
      <c r="X105" s="33">
        <v>46079</v>
      </c>
      <c r="Y105" s="17"/>
    </row>
    <row r="106" spans="1:25" ht="15.6" x14ac:dyDescent="0.3">
      <c r="A106" s="19" t="str">
        <f>IF(OR(E106="",F106="",G106=""),"",E106&amp;"-"&amp;F106&amp;"-"&amp;G106&amp;"-"&amp;TEXT(COUNTIFS($E$2:E106,E106,$F$2:F106,F106,$G$2:G106,G106),"000"))</f>
        <v>PLA-LAV-PSL-003</v>
      </c>
      <c r="B106" s="19" t="s">
        <v>135</v>
      </c>
      <c r="C106" s="19" t="s">
        <v>370</v>
      </c>
      <c r="D106" s="19" t="s">
        <v>328</v>
      </c>
      <c r="E106" s="19" t="str">
        <f>_xlfn.XLOOKUP(B106,Configuración!A:A,Configuración!B:B,"")</f>
        <v>PLA</v>
      </c>
      <c r="F106" s="19" t="str" cm="1">
        <f t="array" ref="F106">IF($C106="","",_xlfn.XLOOKUP(1,(Configuración!D:D=$B106)*(Configuración!E:E=$C106),Configuración!F:F,""))</f>
        <v>LAV</v>
      </c>
      <c r="G106" s="19" t="str">
        <f>IF($D106="","",_xlfn.XLOOKUP($D106,Configuración!H:H,Configuración!I:I,""))</f>
        <v>PSL</v>
      </c>
      <c r="H106" s="19" t="s">
        <v>154</v>
      </c>
      <c r="I106" s="19" t="s">
        <v>154</v>
      </c>
      <c r="J106" s="19" t="s">
        <v>139</v>
      </c>
      <c r="K106" s="19" t="s">
        <v>276</v>
      </c>
      <c r="L106" s="20">
        <v>1610</v>
      </c>
      <c r="M106" s="20">
        <f t="shared" si="6"/>
        <v>410</v>
      </c>
      <c r="N106" s="20">
        <f t="shared" si="7"/>
        <v>1640</v>
      </c>
      <c r="O106" s="20">
        <v>2300</v>
      </c>
      <c r="P106" s="19" t="str">
        <f>IF($O106&lt;Configuración!$B$7,"NO","SI")</f>
        <v>SI</v>
      </c>
      <c r="Q106" s="20">
        <f>IF($P106="NO","NO APLICA",MAX(CEILING(($O106*(1-Configuración!$B$2))/Configuración!$B$3,Configuración!$B$6),Configuración!$B$5))</f>
        <v>230</v>
      </c>
      <c r="R106" s="20">
        <f>IF($Q106="NO APLICA","NO APLICA",$Q106*Configuración!$B$3)</f>
        <v>1840</v>
      </c>
      <c r="S106" s="19" t="str">
        <f>IF($O106&lt;Configuración!$B$8,"NO","SI")</f>
        <v>NO</v>
      </c>
      <c r="T106" s="20" t="str">
        <f>IF($S106="NO","NO APLICA",MAX(CEILING(($O106*(1-Configuración!$B$2))/Configuración!$B$4,Configuración!$B$6),Configuración!$B$5))</f>
        <v>NO APLICA</v>
      </c>
      <c r="U106" s="20" t="str">
        <f>IF($T106="NO APLICA","NO APLICA",$T106*Configuración!$B$4)</f>
        <v>NO APLICA</v>
      </c>
      <c r="V106" s="20">
        <f>MAX(CEILING($O106/Configuración!$B$9,Configuración!$B$6),Configuración!$B$5)</f>
        <v>100</v>
      </c>
      <c r="W106" s="19" t="s">
        <v>277</v>
      </c>
      <c r="X106" s="33">
        <v>46079</v>
      </c>
      <c r="Y106" s="17"/>
    </row>
    <row r="107" spans="1:25" ht="15.6" x14ac:dyDescent="0.3">
      <c r="A107" s="19" t="str">
        <f>IF(OR(E107="",F107="",G107=""),"",E107&amp;"-"&amp;F107&amp;"-"&amp;G107&amp;"-"&amp;TEXT(COUNTIFS($E$2:E107,E107,$F$2:F107,F107,$G$2:G107,G107),"000"))</f>
        <v>LBL-LAV-PSL-001</v>
      </c>
      <c r="B107" s="19" t="s">
        <v>233</v>
      </c>
      <c r="C107" s="19" t="s">
        <v>349</v>
      </c>
      <c r="D107" s="19" t="s">
        <v>328</v>
      </c>
      <c r="E107" s="19" t="str">
        <f>_xlfn.XLOOKUP(B107,Configuración!A:A,Configuración!B:B,"")</f>
        <v>LBL</v>
      </c>
      <c r="F107" s="19" t="str" cm="1">
        <f t="array" ref="F107">IF($C107="","",_xlfn.XLOOKUP(1,(Configuración!D:D=$B107)*(Configuración!E:E=$C107),Configuración!F:F,""))</f>
        <v>LAV</v>
      </c>
      <c r="G107" s="19" t="str">
        <f>IF($D107="","",_xlfn.XLOOKUP($D107,Configuración!H:H,Configuración!I:I,""))</f>
        <v>PSL</v>
      </c>
      <c r="H107" s="19" t="s">
        <v>235</v>
      </c>
      <c r="I107" s="19" t="s">
        <v>235</v>
      </c>
      <c r="J107" s="19" t="s">
        <v>236</v>
      </c>
      <c r="K107" s="19" t="s">
        <v>276</v>
      </c>
      <c r="L107" s="20">
        <v>6230</v>
      </c>
      <c r="M107" s="20">
        <f t="shared" si="6"/>
        <v>1560</v>
      </c>
      <c r="N107" s="20">
        <f t="shared" si="7"/>
        <v>6240</v>
      </c>
      <c r="O107" s="20">
        <v>8900</v>
      </c>
      <c r="P107" s="19" t="str">
        <f>IF($O107&lt;Configuración!$B$7,"NO","SI")</f>
        <v>SI</v>
      </c>
      <c r="Q107" s="20">
        <f>IF($P107="NO","NO APLICA",MAX(CEILING(($O107*(1-Configuración!$B$2))/Configuración!$B$3,Configuración!$B$6),Configuración!$B$5))</f>
        <v>890</v>
      </c>
      <c r="R107" s="20">
        <f>IF($Q107="NO APLICA","NO APLICA",$Q107*Configuración!$B$3)</f>
        <v>7120</v>
      </c>
      <c r="S107" s="19" t="str">
        <f>IF($O107&lt;Configuración!$B$8,"NO","SI")</f>
        <v>SI</v>
      </c>
      <c r="T107" s="20">
        <f>IF($S107="NO","NO APLICA",MAX(CEILING(($O107*(1-Configuración!$B$2))/Configuración!$B$4,Configuración!$B$6),Configuración!$B$5))</f>
        <v>600</v>
      </c>
      <c r="U107" s="20">
        <f>IF($T107="NO APLICA","NO APLICA",$T107*Configuración!$B$4)</f>
        <v>7200</v>
      </c>
      <c r="V107" s="20">
        <f>MAX(CEILING($O107/Configuración!$B$9,Configuración!$B$6),Configuración!$B$5)</f>
        <v>180</v>
      </c>
      <c r="W107" s="19" t="s">
        <v>277</v>
      </c>
      <c r="X107" s="33">
        <v>46079</v>
      </c>
      <c r="Y107" s="17"/>
    </row>
    <row r="108" spans="1:25" ht="15.6" x14ac:dyDescent="0.3">
      <c r="A108" s="19" t="str">
        <f>IF(OR(E108="",F108="",G108=""),"",E108&amp;"-"&amp;F108&amp;"-"&amp;G108&amp;"-"&amp;TEXT(COUNTIFS($E$2:E108,E108,$F$2:F108,F108,$G$2:G108,G108),"000"))</f>
        <v>LBL-LAV-PSL-002</v>
      </c>
      <c r="B108" s="19" t="s">
        <v>233</v>
      </c>
      <c r="C108" s="19" t="s">
        <v>349</v>
      </c>
      <c r="D108" s="19" t="s">
        <v>328</v>
      </c>
      <c r="E108" s="19" t="str">
        <f>_xlfn.XLOOKUP(B108,Configuración!A:A,Configuración!B:B,"")</f>
        <v>LBL</v>
      </c>
      <c r="F108" s="19" t="str" cm="1">
        <f t="array" ref="F108">IF($C108="","",_xlfn.XLOOKUP(1,(Configuración!D:D=$B108)*(Configuración!E:E=$C108),Configuración!F:F,""))</f>
        <v>LAV</v>
      </c>
      <c r="G108" s="19" t="str">
        <f>IF($D108="","",_xlfn.XLOOKUP($D108,Configuración!H:H,Configuración!I:I,""))</f>
        <v>PSL</v>
      </c>
      <c r="H108" s="19" t="s">
        <v>242</v>
      </c>
      <c r="I108" s="19" t="s">
        <v>242</v>
      </c>
      <c r="J108" s="19" t="s">
        <v>243</v>
      </c>
      <c r="K108" s="19" t="s">
        <v>276</v>
      </c>
      <c r="L108" s="20">
        <v>9450</v>
      </c>
      <c r="M108" s="20">
        <f t="shared" si="6"/>
        <v>2370</v>
      </c>
      <c r="N108" s="20">
        <f t="shared" si="7"/>
        <v>9480</v>
      </c>
      <c r="O108" s="20">
        <v>13500</v>
      </c>
      <c r="P108" s="19" t="str">
        <f>IF($O108&lt;Configuración!$B$7,"NO","SI")</f>
        <v>SI</v>
      </c>
      <c r="Q108" s="20">
        <f>IF($P108="NO","NO APLICA",MAX(CEILING(($O108*(1-Configuración!$B$2))/Configuración!$B$3,Configuración!$B$6),Configuración!$B$5))</f>
        <v>1350</v>
      </c>
      <c r="R108" s="20">
        <f>IF($Q108="NO APLICA","NO APLICA",$Q108*Configuración!$B$3)</f>
        <v>10800</v>
      </c>
      <c r="S108" s="19" t="str">
        <f>IF($O108&lt;Configuración!$B$8,"NO","SI")</f>
        <v>SI</v>
      </c>
      <c r="T108" s="20">
        <f>IF($S108="NO","NO APLICA",MAX(CEILING(($O108*(1-Configuración!$B$2))/Configuración!$B$4,Configuración!$B$6),Configuración!$B$5))</f>
        <v>900</v>
      </c>
      <c r="U108" s="20">
        <f>IF($T108="NO APLICA","NO APLICA",$T108*Configuración!$B$4)</f>
        <v>10800</v>
      </c>
      <c r="V108" s="20">
        <f>MAX(CEILING($O108/Configuración!$B$9,Configuración!$B$6),Configuración!$B$5)</f>
        <v>260</v>
      </c>
      <c r="W108" s="19" t="s">
        <v>277</v>
      </c>
      <c r="X108" s="33">
        <v>46079</v>
      </c>
      <c r="Y108" s="17"/>
    </row>
    <row r="109" spans="1:25" ht="15.6" x14ac:dyDescent="0.3">
      <c r="A109" s="19" t="str">
        <f>IF(OR(E109="",F109="",G109=""),"",E109&amp;"-"&amp;F109&amp;"-"&amp;G109&amp;"-"&amp;TEXT(COUNTIFS($E$2:E109,E109,$F$2:F109,F109,$G$2:G109,G109),"000"))</f>
        <v>LBL-LAV-PSL-003</v>
      </c>
      <c r="B109" s="19" t="s">
        <v>233</v>
      </c>
      <c r="C109" s="19" t="s">
        <v>349</v>
      </c>
      <c r="D109" s="19" t="s">
        <v>328</v>
      </c>
      <c r="E109" s="19" t="str">
        <f>_xlfn.XLOOKUP(B109,Configuración!A:A,Configuración!B:B,"")</f>
        <v>LBL</v>
      </c>
      <c r="F109" s="19" t="str" cm="1">
        <f t="array" ref="F109">IF($C109="","",_xlfn.XLOOKUP(1,(Configuración!D:D=$B109)*(Configuración!E:E=$C109),Configuración!F:F,""))</f>
        <v>LAV</v>
      </c>
      <c r="G109" s="19" t="str">
        <f>IF($D109="","",_xlfn.XLOOKUP($D109,Configuración!H:H,Configuración!I:I,""))</f>
        <v>PSL</v>
      </c>
      <c r="H109" s="19" t="s">
        <v>237</v>
      </c>
      <c r="I109" s="19" t="s">
        <v>237</v>
      </c>
      <c r="J109" s="19" t="s">
        <v>238</v>
      </c>
      <c r="K109" s="19" t="s">
        <v>276</v>
      </c>
      <c r="L109" s="20">
        <v>8750</v>
      </c>
      <c r="M109" s="20">
        <f t="shared" si="6"/>
        <v>2190</v>
      </c>
      <c r="N109" s="20">
        <f t="shared" si="7"/>
        <v>8760</v>
      </c>
      <c r="O109" s="20">
        <v>12500</v>
      </c>
      <c r="P109" s="19" t="str">
        <f>IF($O109&lt;Configuración!$B$7,"NO","SI")</f>
        <v>SI</v>
      </c>
      <c r="Q109" s="20">
        <f>IF($P109="NO","NO APLICA",MAX(CEILING(($O109*(1-Configuración!$B$2))/Configuración!$B$3,Configuración!$B$6),Configuración!$B$5))</f>
        <v>1250</v>
      </c>
      <c r="R109" s="20">
        <f>IF($Q109="NO APLICA","NO APLICA",$Q109*Configuración!$B$3)</f>
        <v>10000</v>
      </c>
      <c r="S109" s="19" t="str">
        <f>IF($O109&lt;Configuración!$B$8,"NO","SI")</f>
        <v>SI</v>
      </c>
      <c r="T109" s="20">
        <f>IF($S109="NO","NO APLICA",MAX(CEILING(($O109*(1-Configuración!$B$2))/Configuración!$B$4,Configuración!$B$6),Configuración!$B$5))</f>
        <v>840</v>
      </c>
      <c r="U109" s="20">
        <f>IF($T109="NO APLICA","NO APLICA",$T109*Configuración!$B$4)</f>
        <v>10080</v>
      </c>
      <c r="V109" s="20">
        <f>MAX(CEILING($O109/Configuración!$B$9,Configuración!$B$6),Configuración!$B$5)</f>
        <v>250</v>
      </c>
      <c r="W109" s="19" t="s">
        <v>277</v>
      </c>
      <c r="X109" s="33">
        <v>46079</v>
      </c>
      <c r="Y109" s="17"/>
    </row>
    <row r="110" spans="1:25" ht="15.6" x14ac:dyDescent="0.3">
      <c r="A110" s="19" t="str">
        <f>IF(OR(E110="",F110="",G110=""),"",E110&amp;"-"&amp;F110&amp;"-"&amp;G110&amp;"-"&amp;TEXT(COUNTIFS($E$2:E110,E110,$F$2:F110,F110,$G$2:G110,G110),"000"))</f>
        <v>LBL-LAV-PSL-004</v>
      </c>
      <c r="B110" s="19" t="s">
        <v>233</v>
      </c>
      <c r="C110" s="19" t="s">
        <v>349</v>
      </c>
      <c r="D110" s="19" t="s">
        <v>328</v>
      </c>
      <c r="E110" s="19" t="str">
        <f>_xlfn.XLOOKUP(B110,Configuración!A:A,Configuración!B:B,"")</f>
        <v>LBL</v>
      </c>
      <c r="F110" s="19" t="str" cm="1">
        <f t="array" ref="F110">IF($C110="","",_xlfn.XLOOKUP(1,(Configuración!D:D=$B110)*(Configuración!E:E=$C110),Configuración!F:F,""))</f>
        <v>LAV</v>
      </c>
      <c r="G110" s="19" t="str">
        <f>IF($D110="","",_xlfn.XLOOKUP($D110,Configuración!H:H,Configuración!I:I,""))</f>
        <v>PSL</v>
      </c>
      <c r="H110" s="19" t="s">
        <v>239</v>
      </c>
      <c r="I110" s="19" t="s">
        <v>239</v>
      </c>
      <c r="J110" s="19" t="s">
        <v>240</v>
      </c>
      <c r="K110" s="19" t="s">
        <v>276</v>
      </c>
      <c r="L110" s="20">
        <v>10500</v>
      </c>
      <c r="M110" s="20">
        <f t="shared" si="6"/>
        <v>2630</v>
      </c>
      <c r="N110" s="20">
        <f t="shared" si="7"/>
        <v>10520</v>
      </c>
      <c r="O110" s="20">
        <v>14995</v>
      </c>
      <c r="P110" s="19" t="str">
        <f>IF($O110&lt;Configuración!$B$7,"NO","SI")</f>
        <v>SI</v>
      </c>
      <c r="Q110" s="20">
        <f>IF($P110="NO","NO APLICA",MAX(CEILING(($O110*(1-Configuración!$B$2))/Configuración!$B$3,Configuración!$B$6),Configuración!$B$5))</f>
        <v>1500</v>
      </c>
      <c r="R110" s="20">
        <f>IF($Q110="NO APLICA","NO APLICA",$Q110*Configuración!$B$3)</f>
        <v>12000</v>
      </c>
      <c r="S110" s="19" t="str">
        <f>IF($O110&lt;Configuración!$B$8,"NO","SI")</f>
        <v>SI</v>
      </c>
      <c r="T110" s="20">
        <f>IF($S110="NO","NO APLICA",MAX(CEILING(($O110*(1-Configuración!$B$2))/Configuración!$B$4,Configuración!$B$6),Configuración!$B$5))</f>
        <v>1000</v>
      </c>
      <c r="U110" s="20">
        <f>IF($T110="NO APLICA","NO APLICA",$T110*Configuración!$B$4)</f>
        <v>12000</v>
      </c>
      <c r="V110" s="20">
        <f>MAX(CEILING($O110/Configuración!$B$9,Configuración!$B$6),Configuración!$B$5)</f>
        <v>290</v>
      </c>
      <c r="W110" s="19" t="s">
        <v>277</v>
      </c>
      <c r="X110" s="33">
        <v>46079</v>
      </c>
      <c r="Y110" s="17"/>
    </row>
    <row r="111" spans="1:25" ht="15.6" x14ac:dyDescent="0.3">
      <c r="A111" s="19" t="str">
        <f>IF(OR(E111="",F111="",G111=""),"",E111&amp;"-"&amp;F111&amp;"-"&amp;G111&amp;"-"&amp;TEXT(COUNTIFS($E$2:E111,E111,$F$2:F111,F111,$G$2:G111,G111),"000"))</f>
        <v>LBL-LAV-PSL-005</v>
      </c>
      <c r="B111" s="19" t="s">
        <v>233</v>
      </c>
      <c r="C111" s="19" t="s">
        <v>349</v>
      </c>
      <c r="D111" s="19" t="s">
        <v>328</v>
      </c>
      <c r="E111" s="19" t="str">
        <f>_xlfn.XLOOKUP(B111,Configuración!A:A,Configuración!B:B,"")</f>
        <v>LBL</v>
      </c>
      <c r="F111" s="19" t="str" cm="1">
        <f t="array" ref="F111">IF($C111="","",_xlfn.XLOOKUP(1,(Configuración!D:D=$B111)*(Configuración!E:E=$C111),Configuración!F:F,""))</f>
        <v>LAV</v>
      </c>
      <c r="G111" s="19" t="str">
        <f>IF($D111="","",_xlfn.XLOOKUP($D111,Configuración!H:H,Configuración!I:I,""))</f>
        <v>PSL</v>
      </c>
      <c r="H111" s="19" t="s">
        <v>241</v>
      </c>
      <c r="I111" s="19" t="s">
        <v>241</v>
      </c>
      <c r="J111" s="19" t="s">
        <v>236</v>
      </c>
      <c r="K111" s="19" t="s">
        <v>276</v>
      </c>
      <c r="L111" s="20">
        <v>11200</v>
      </c>
      <c r="M111" s="20">
        <f t="shared" si="6"/>
        <v>2800</v>
      </c>
      <c r="N111" s="20">
        <f t="shared" si="7"/>
        <v>11200</v>
      </c>
      <c r="O111" s="20">
        <v>16000</v>
      </c>
      <c r="P111" s="19" t="str">
        <f>IF($O111&lt;Configuración!$B$7,"NO","SI")</f>
        <v>SI</v>
      </c>
      <c r="Q111" s="20">
        <f>IF($P111="NO","NO APLICA",MAX(CEILING(($O111*(1-Configuración!$B$2))/Configuración!$B$3,Configuración!$B$6),Configuración!$B$5))</f>
        <v>1600</v>
      </c>
      <c r="R111" s="20">
        <f>IF($Q111="NO APLICA","NO APLICA",$Q111*Configuración!$B$3)</f>
        <v>12800</v>
      </c>
      <c r="S111" s="19" t="str">
        <f>IF($O111&lt;Configuración!$B$8,"NO","SI")</f>
        <v>SI</v>
      </c>
      <c r="T111" s="20">
        <f>IF($S111="NO","NO APLICA",MAX(CEILING(($O111*(1-Configuración!$B$2))/Configuración!$B$4,Configuración!$B$6),Configuración!$B$5))</f>
        <v>1070</v>
      </c>
      <c r="U111" s="20">
        <f>IF($T111="NO APLICA","NO APLICA",$T111*Configuración!$B$4)</f>
        <v>12840</v>
      </c>
      <c r="V111" s="20">
        <f>MAX(CEILING($O111/Configuración!$B$9,Configuración!$B$6),Configuración!$B$5)</f>
        <v>310</v>
      </c>
      <c r="W111" s="19" t="s">
        <v>277</v>
      </c>
      <c r="X111" s="33">
        <v>46079</v>
      </c>
      <c r="Y111" s="17"/>
    </row>
    <row r="112" spans="1:25" ht="31.2" x14ac:dyDescent="0.3">
      <c r="A112" s="19" t="str">
        <f>IF(OR(E112="",F112="",G112=""),"",E112&amp;"-"&amp;F112&amp;"-"&amp;G112&amp;"-"&amp;TEXT(COUNTIFS($E$2:E112,E112,$F$2:F112,F112,$G$2:G112,G112),"000"))</f>
        <v>ELE-LIC-PSL-001</v>
      </c>
      <c r="B112" s="19" t="s">
        <v>20</v>
      </c>
      <c r="C112" s="19" t="s">
        <v>322</v>
      </c>
      <c r="D112" s="19" t="s">
        <v>328</v>
      </c>
      <c r="E112" s="19" t="str">
        <f>_xlfn.XLOOKUP(B112,Configuración!A:A,Configuración!B:B,"")</f>
        <v>ELE</v>
      </c>
      <c r="F112" s="19" t="str" cm="1">
        <f t="array" ref="F112">IF($C112="","",_xlfn.XLOOKUP(1,(Configuración!D:D=$B112)*(Configuración!E:E=$C112),Configuración!F:F,""))</f>
        <v>LIC</v>
      </c>
      <c r="G112" s="19" t="str">
        <f>IF($D112="","",_xlfn.XLOOKUP($D112,Configuración!H:H,Configuración!I:I,""))</f>
        <v>PSL</v>
      </c>
      <c r="H112" s="19" t="s">
        <v>458</v>
      </c>
      <c r="I112" s="19" t="s">
        <v>458</v>
      </c>
      <c r="J112" s="19" t="s">
        <v>76</v>
      </c>
      <c r="K112" s="19" t="s">
        <v>276</v>
      </c>
      <c r="L112" s="20">
        <v>1610</v>
      </c>
      <c r="M112" s="20">
        <f t="shared" si="6"/>
        <v>410</v>
      </c>
      <c r="N112" s="20">
        <f t="shared" si="7"/>
        <v>1640</v>
      </c>
      <c r="O112" s="20">
        <v>2300</v>
      </c>
      <c r="P112" s="19" t="str">
        <f>IF($O112&lt;Configuración!$B$7,"NO","SI")</f>
        <v>SI</v>
      </c>
      <c r="Q112" s="20">
        <f>IF($P112="NO","NO APLICA",MAX(CEILING(($O112*(1-Configuración!$B$2))/Configuración!$B$3,Configuración!$B$6),Configuración!$B$5))</f>
        <v>230</v>
      </c>
      <c r="R112" s="20">
        <f>IF($Q112="NO APLICA","NO APLICA",$Q112*Configuración!$B$3)</f>
        <v>1840</v>
      </c>
      <c r="S112" s="19" t="str">
        <f>IF($O112&lt;Configuración!$B$8,"NO","SI")</f>
        <v>NO</v>
      </c>
      <c r="T112" s="20" t="str">
        <f>IF($S112="NO","NO APLICA",MAX(CEILING(($O112*(1-Configuración!$B$2))/Configuración!$B$4,Configuración!$B$6),Configuración!$B$5))</f>
        <v>NO APLICA</v>
      </c>
      <c r="U112" s="20" t="str">
        <f>IF($T112="NO APLICA","NO APLICA",$T112*Configuración!$B$4)</f>
        <v>NO APLICA</v>
      </c>
      <c r="V112" s="20">
        <f>MAX(CEILING($O112/Configuración!$B$9,Configuración!$B$6),Configuración!$B$5)</f>
        <v>100</v>
      </c>
      <c r="W112" s="19" t="s">
        <v>277</v>
      </c>
      <c r="X112" s="33">
        <v>46079</v>
      </c>
      <c r="Y112" s="17"/>
    </row>
    <row r="113" spans="1:25" ht="31.2" x14ac:dyDescent="0.3">
      <c r="A113" s="19" t="str">
        <f>IF(OR(E113="",F113="",G113=""),"",E113&amp;"-"&amp;F113&amp;"-"&amp;G113&amp;"-"&amp;TEXT(COUNTIFS($E$2:E113,E113,$F$2:F113,F113,$G$2:G113,G113),"000"))</f>
        <v>ELE-LIC-VID-001</v>
      </c>
      <c r="B113" s="19" t="s">
        <v>20</v>
      </c>
      <c r="C113" s="19" t="s">
        <v>322</v>
      </c>
      <c r="D113" s="19" t="s">
        <v>487</v>
      </c>
      <c r="E113" s="19" t="str">
        <f>_xlfn.XLOOKUP(B113,Configuración!A:A,Configuración!B:B,"")</f>
        <v>ELE</v>
      </c>
      <c r="F113" s="19" t="str" cm="1">
        <f t="array" ref="F113">IF($C113="","",_xlfn.XLOOKUP(1,(Configuración!D:D=$B113)*(Configuración!E:E=$C113),Configuración!F:F,""))</f>
        <v>LIC</v>
      </c>
      <c r="G113" s="19" t="str">
        <f>IF($D113="","",_xlfn.XLOOKUP($D113,Configuración!H:H,Configuración!I:I,""))</f>
        <v>VID</v>
      </c>
      <c r="H113" s="19" t="s">
        <v>459</v>
      </c>
      <c r="I113" s="19" t="s">
        <v>459</v>
      </c>
      <c r="J113" s="19" t="s">
        <v>77</v>
      </c>
      <c r="K113" s="19" t="s">
        <v>276</v>
      </c>
      <c r="L113" s="20">
        <v>1610</v>
      </c>
      <c r="M113" s="20">
        <f t="shared" si="6"/>
        <v>410</v>
      </c>
      <c r="N113" s="20">
        <f t="shared" si="7"/>
        <v>1640</v>
      </c>
      <c r="O113" s="20">
        <v>2300</v>
      </c>
      <c r="P113" s="19" t="str">
        <f>IF($O113&lt;Configuración!$B$7,"NO","SI")</f>
        <v>SI</v>
      </c>
      <c r="Q113" s="20">
        <f>IF($P113="NO","NO APLICA",MAX(CEILING(($O113*(1-Configuración!$B$2))/Configuración!$B$3,Configuración!$B$6),Configuración!$B$5))</f>
        <v>230</v>
      </c>
      <c r="R113" s="20">
        <f>IF($Q113="NO APLICA","NO APLICA",$Q113*Configuración!$B$3)</f>
        <v>1840</v>
      </c>
      <c r="S113" s="19" t="str">
        <f>IF($O113&lt;Configuración!$B$8,"NO","SI")</f>
        <v>NO</v>
      </c>
      <c r="T113" s="20" t="str">
        <f>IF($S113="NO","NO APLICA",MAX(CEILING(($O113*(1-Configuración!$B$2))/Configuración!$B$4,Configuración!$B$6),Configuración!$B$5))</f>
        <v>NO APLICA</v>
      </c>
      <c r="U113" s="20" t="str">
        <f>IF($T113="NO APLICA","NO APLICA",$T113*Configuración!$B$4)</f>
        <v>NO APLICA</v>
      </c>
      <c r="V113" s="20">
        <f>MAX(CEILING($O113/Configuración!$B$9,Configuración!$B$6),Configuración!$B$5)</f>
        <v>100</v>
      </c>
      <c r="W113" s="19" t="s">
        <v>277</v>
      </c>
      <c r="X113" s="33">
        <v>46079</v>
      </c>
      <c r="Y113" s="17"/>
    </row>
    <row r="114" spans="1:25" ht="15.6" x14ac:dyDescent="0.3">
      <c r="A114" s="19" t="str">
        <f>IF(OR(E114="",F114="",G114=""),"",E114&amp;"-"&amp;F114&amp;"-"&amp;G114&amp;"-"&amp;TEXT(COUNTIFS($E$2:E114,E114,$F$2:F114,F114,$G$2:G114,G114),"000"))</f>
        <v>MOB-LIT-TUB-001</v>
      </c>
      <c r="B114" s="19" t="s">
        <v>19</v>
      </c>
      <c r="C114" s="19" t="s">
        <v>377</v>
      </c>
      <c r="D114" s="19" t="s">
        <v>329</v>
      </c>
      <c r="E114" s="19" t="str">
        <f>_xlfn.XLOOKUP(B114,Configuración!A:A,Configuración!B:B,"")</f>
        <v>MOB</v>
      </c>
      <c r="F114" s="19" t="str" cm="1">
        <f t="array" ref="F114">IF($C114="","",_xlfn.XLOOKUP(1,(Configuración!D:D=$B114)*(Configuración!E:E=$C114),Configuración!F:F,""))</f>
        <v>LIT</v>
      </c>
      <c r="G114" s="19" t="str">
        <f>IF($D114="","",_xlfn.XLOOKUP($D114,Configuración!H:H,Configuración!I:I,""))</f>
        <v>TUB</v>
      </c>
      <c r="H114" s="19" t="s">
        <v>192</v>
      </c>
      <c r="I114" s="19" t="s">
        <v>192</v>
      </c>
      <c r="J114" s="19" t="s">
        <v>156</v>
      </c>
      <c r="K114" s="19" t="s">
        <v>276</v>
      </c>
      <c r="L114" s="20">
        <v>4725</v>
      </c>
      <c r="M114" s="20">
        <f t="shared" si="6"/>
        <v>1190</v>
      </c>
      <c r="N114" s="20">
        <f t="shared" si="7"/>
        <v>4760</v>
      </c>
      <c r="O114" s="20">
        <v>6750</v>
      </c>
      <c r="P114" s="19" t="str">
        <f>IF($O114&lt;Configuración!$B$7,"NO","SI")</f>
        <v>SI</v>
      </c>
      <c r="Q114" s="20">
        <f>IF($P114="NO","NO APLICA",MAX(CEILING(($O114*(1-Configuración!$B$2))/Configuración!$B$3,Configuración!$B$6),Configuración!$B$5))</f>
        <v>680</v>
      </c>
      <c r="R114" s="20">
        <f>IF($Q114="NO APLICA","NO APLICA",$Q114*Configuración!$B$3)</f>
        <v>5440</v>
      </c>
      <c r="S114" s="19" t="str">
        <f>IF($O114&lt;Configuración!$B$8,"NO","SI")</f>
        <v>SI</v>
      </c>
      <c r="T114" s="20">
        <f>IF($S114="NO","NO APLICA",MAX(CEILING(($O114*(1-Configuración!$B$2))/Configuración!$B$4,Configuración!$B$6),Configuración!$B$5))</f>
        <v>450</v>
      </c>
      <c r="U114" s="20">
        <f>IF($T114="NO APLICA","NO APLICA",$T114*Configuración!$B$4)</f>
        <v>5400</v>
      </c>
      <c r="V114" s="20">
        <f>MAX(CEILING($O114/Configuración!$B$9,Configuración!$B$6),Configuración!$B$5)</f>
        <v>130</v>
      </c>
      <c r="W114" s="19" t="s">
        <v>277</v>
      </c>
      <c r="X114" s="33">
        <v>46079</v>
      </c>
      <c r="Y114" s="17"/>
    </row>
    <row r="115" spans="1:25" ht="15.6" x14ac:dyDescent="0.3">
      <c r="A115" s="19" t="str">
        <f>IF(OR(E115="",F115="",G115=""),"",E115&amp;"-"&amp;F115&amp;"-"&amp;G115&amp;"-"&amp;TEXT(COUNTIFS($E$2:E115,E115,$F$2:F115,F115,$G$2:G115,G115),"000"))</f>
        <v>MOB-LIT-TUB-002</v>
      </c>
      <c r="B115" s="19" t="s">
        <v>19</v>
      </c>
      <c r="C115" s="19" t="s">
        <v>377</v>
      </c>
      <c r="D115" s="19" t="s">
        <v>329</v>
      </c>
      <c r="E115" s="19" t="str">
        <f>_xlfn.XLOOKUP(B115,Configuración!A:A,Configuración!B:B,"")</f>
        <v>MOB</v>
      </c>
      <c r="F115" s="19" t="str" cm="1">
        <f t="array" ref="F115">IF($C115="","",_xlfn.XLOOKUP(1,(Configuración!D:D=$B115)*(Configuración!E:E=$C115),Configuración!F:F,""))</f>
        <v>LIT</v>
      </c>
      <c r="G115" s="19" t="str">
        <f>IF($D115="","",_xlfn.XLOOKUP($D115,Configuración!H:H,Configuración!I:I,""))</f>
        <v>TUB</v>
      </c>
      <c r="H115" s="19" t="s">
        <v>191</v>
      </c>
      <c r="I115" s="19" t="s">
        <v>191</v>
      </c>
      <c r="J115" s="19" t="s">
        <v>156</v>
      </c>
      <c r="K115" s="19" t="s">
        <v>276</v>
      </c>
      <c r="L115" s="20">
        <v>5040</v>
      </c>
      <c r="M115" s="20">
        <f t="shared" si="6"/>
        <v>1260</v>
      </c>
      <c r="N115" s="20">
        <f t="shared" si="7"/>
        <v>5040</v>
      </c>
      <c r="O115" s="20">
        <v>7200</v>
      </c>
      <c r="P115" s="19" t="str">
        <f>IF($O115&lt;Configuración!$B$7,"NO","SI")</f>
        <v>SI</v>
      </c>
      <c r="Q115" s="20">
        <f>IF($P115="NO","NO APLICA",MAX(CEILING(($O115*(1-Configuración!$B$2))/Configuración!$B$3,Configuración!$B$6),Configuración!$B$5))</f>
        <v>720</v>
      </c>
      <c r="R115" s="20">
        <f>IF($Q115="NO APLICA","NO APLICA",$Q115*Configuración!$B$3)</f>
        <v>5760</v>
      </c>
      <c r="S115" s="19" t="str">
        <f>IF($O115&lt;Configuración!$B$8,"NO","SI")</f>
        <v>SI</v>
      </c>
      <c r="T115" s="20">
        <f>IF($S115="NO","NO APLICA",MAX(CEILING(($O115*(1-Configuración!$B$2))/Configuración!$B$4,Configuración!$B$6),Configuración!$B$5))</f>
        <v>480</v>
      </c>
      <c r="U115" s="20">
        <f>IF($T115="NO APLICA","NO APLICA",$T115*Configuración!$B$4)</f>
        <v>5760</v>
      </c>
      <c r="V115" s="20">
        <f>MAX(CEILING($O115/Configuración!$B$9,Configuración!$B$6),Configuración!$B$5)</f>
        <v>140</v>
      </c>
      <c r="W115" s="19" t="s">
        <v>277</v>
      </c>
      <c r="X115" s="33">
        <v>46079</v>
      </c>
      <c r="Y115" s="17"/>
    </row>
    <row r="116" spans="1:25" ht="15.6" x14ac:dyDescent="0.3">
      <c r="A116" s="19" t="str">
        <f>IF(OR(E116="",F116="",G116=""),"",E116&amp;"-"&amp;F116&amp;"-"&amp;G116&amp;"-"&amp;TEXT(COUNTIFS($E$2:E116,E116,$F$2:F116,F116,$G$2:G116,G116),"000"))</f>
        <v>MOB-MEC-MET-001</v>
      </c>
      <c r="B116" s="19" t="s">
        <v>19</v>
      </c>
      <c r="C116" s="19" t="s">
        <v>410</v>
      </c>
      <c r="D116" s="19" t="s">
        <v>327</v>
      </c>
      <c r="E116" s="19" t="str">
        <f>_xlfn.XLOOKUP(B116,Configuración!A:A,Configuración!B:B,"")</f>
        <v>MOB</v>
      </c>
      <c r="F116" s="19" t="str" cm="1">
        <f t="array" ref="F116">IF($C116="","",_xlfn.XLOOKUP(1,(Configuración!D:D=$B116)*(Configuración!E:E=$C116),Configuración!F:F,""))</f>
        <v>MEC</v>
      </c>
      <c r="G116" s="19" t="str">
        <f>IF($D116="","",_xlfn.XLOOKUP($D116,Configuración!H:H,Configuración!I:I,""))</f>
        <v>MET</v>
      </c>
      <c r="H116" s="19" t="s">
        <v>164</v>
      </c>
      <c r="I116" s="19" t="s">
        <v>164</v>
      </c>
      <c r="J116" s="19" t="s">
        <v>156</v>
      </c>
      <c r="K116" s="19" t="s">
        <v>276</v>
      </c>
      <c r="L116" s="20">
        <v>1400</v>
      </c>
      <c r="M116" s="20">
        <f t="shared" si="6"/>
        <v>350</v>
      </c>
      <c r="N116" s="20">
        <f t="shared" si="7"/>
        <v>1400</v>
      </c>
      <c r="O116" s="20">
        <v>2000</v>
      </c>
      <c r="P116" s="19" t="str">
        <f>IF($O116&lt;Configuración!$B$7,"NO","SI")</f>
        <v>SI</v>
      </c>
      <c r="Q116" s="20">
        <f>IF($P116="NO","NO APLICA",MAX(CEILING(($O116*(1-Configuración!$B$2))/Configuración!$B$3,Configuración!$B$6),Configuración!$B$5))</f>
        <v>200</v>
      </c>
      <c r="R116" s="20">
        <f>IF($Q116="NO APLICA","NO APLICA",$Q116*Configuración!$B$3)</f>
        <v>1600</v>
      </c>
      <c r="S116" s="19" t="str">
        <f>IF($O116&lt;Configuración!$B$8,"NO","SI")</f>
        <v>NO</v>
      </c>
      <c r="T116" s="20" t="str">
        <f>IF($S116="NO","NO APLICA",MAX(CEILING(($O116*(1-Configuración!$B$2))/Configuración!$B$4,Configuración!$B$6),Configuración!$B$5))</f>
        <v>NO APLICA</v>
      </c>
      <c r="U116" s="20" t="str">
        <f>IF($T116="NO APLICA","NO APLICA",$T116*Configuración!$B$4)</f>
        <v>NO APLICA</v>
      </c>
      <c r="V116" s="20">
        <f>MAX(CEILING($O116/Configuración!$B$9,Configuración!$B$6),Configuración!$B$5)</f>
        <v>100</v>
      </c>
      <c r="W116" s="19" t="s">
        <v>277</v>
      </c>
      <c r="X116" s="33">
        <v>46079</v>
      </c>
      <c r="Y116" s="17"/>
    </row>
    <row r="117" spans="1:25" ht="15.6" x14ac:dyDescent="0.3">
      <c r="A117" s="19" t="str">
        <f>IF(OR(E117="",F117="",G117=""),"",E117&amp;"-"&amp;F117&amp;"-"&amp;G117&amp;"-"&amp;TEXT(COUNTIFS($E$2:E117,E117,$F$2:F117,F117,$G$2:G117,G117),"000"))</f>
        <v>MOB-MEC-MET-002</v>
      </c>
      <c r="B117" s="19" t="s">
        <v>19</v>
      </c>
      <c r="C117" s="19" t="s">
        <v>410</v>
      </c>
      <c r="D117" s="19" t="s">
        <v>327</v>
      </c>
      <c r="E117" s="19" t="str">
        <f>_xlfn.XLOOKUP(B117,Configuración!A:A,Configuración!B:B,"")</f>
        <v>MOB</v>
      </c>
      <c r="F117" s="19" t="str" cm="1">
        <f t="array" ref="F117">IF($C117="","",_xlfn.XLOOKUP(1,(Configuración!D:D=$B117)*(Configuración!E:E=$C117),Configuración!F:F,""))</f>
        <v>MEC</v>
      </c>
      <c r="G117" s="19" t="str">
        <f>IF($D117="","",_xlfn.XLOOKUP($D117,Configuración!H:H,Configuración!I:I,""))</f>
        <v>MET</v>
      </c>
      <c r="H117" s="19" t="s">
        <v>166</v>
      </c>
      <c r="I117" s="19" t="s">
        <v>166</v>
      </c>
      <c r="J117" s="19" t="s">
        <v>156</v>
      </c>
      <c r="K117" s="19" t="s">
        <v>276</v>
      </c>
      <c r="L117" s="20">
        <v>1750</v>
      </c>
      <c r="M117" s="20">
        <f t="shared" si="6"/>
        <v>440</v>
      </c>
      <c r="N117" s="20">
        <f t="shared" si="7"/>
        <v>1760</v>
      </c>
      <c r="O117" s="20">
        <v>2500</v>
      </c>
      <c r="P117" s="19" t="str">
        <f>IF($O117&lt;Configuración!$B$7,"NO","SI")</f>
        <v>SI</v>
      </c>
      <c r="Q117" s="20">
        <f>IF($P117="NO","NO APLICA",MAX(CEILING(($O117*(1-Configuración!$B$2))/Configuración!$B$3,Configuración!$B$6),Configuración!$B$5))</f>
        <v>250</v>
      </c>
      <c r="R117" s="20">
        <f>IF($Q117="NO APLICA","NO APLICA",$Q117*Configuración!$B$3)</f>
        <v>2000</v>
      </c>
      <c r="S117" s="19" t="str">
        <f>IF($O117&lt;Configuración!$B$8,"NO","SI")</f>
        <v>NO</v>
      </c>
      <c r="T117" s="20" t="str">
        <f>IF($S117="NO","NO APLICA",MAX(CEILING(($O117*(1-Configuración!$B$2))/Configuración!$B$4,Configuración!$B$6),Configuración!$B$5))</f>
        <v>NO APLICA</v>
      </c>
      <c r="U117" s="20" t="str">
        <f>IF($T117="NO APLICA","NO APLICA",$T117*Configuración!$B$4)</f>
        <v>NO APLICA</v>
      </c>
      <c r="V117" s="20">
        <f>MAX(CEILING($O117/Configuración!$B$9,Configuración!$B$6),Configuración!$B$5)</f>
        <v>100</v>
      </c>
      <c r="W117" s="19" t="s">
        <v>277</v>
      </c>
      <c r="X117" s="33">
        <v>46079</v>
      </c>
      <c r="Y117" s="17"/>
    </row>
    <row r="118" spans="1:25" ht="15.6" x14ac:dyDescent="0.3">
      <c r="A118" s="19" t="str">
        <f>IF(OR(E118="",F118="",G118=""),"",E118&amp;"-"&amp;F118&amp;"-"&amp;G118&amp;"-"&amp;TEXT(COUNTIFS($E$2:E118,E118,$F$2:F118,F118,$G$2:G118,G118),"000"))</f>
        <v>MOB-MEC-MET-003</v>
      </c>
      <c r="B118" s="19" t="s">
        <v>19</v>
      </c>
      <c r="C118" s="19" t="s">
        <v>410</v>
      </c>
      <c r="D118" s="19" t="s">
        <v>327</v>
      </c>
      <c r="E118" s="19" t="str">
        <f>_xlfn.XLOOKUP(B118,Configuración!A:A,Configuración!B:B,"")</f>
        <v>MOB</v>
      </c>
      <c r="F118" s="19" t="str" cm="1">
        <f t="array" ref="F118">IF($C118="","",_xlfn.XLOOKUP(1,(Configuración!D:D=$B118)*(Configuración!E:E=$C118),Configuración!F:F,""))</f>
        <v>MEC</v>
      </c>
      <c r="G118" s="19" t="str">
        <f>IF($D118="","",_xlfn.XLOOKUP($D118,Configuración!H:H,Configuración!I:I,""))</f>
        <v>MET</v>
      </c>
      <c r="H118" s="19" t="s">
        <v>165</v>
      </c>
      <c r="I118" s="19" t="s">
        <v>165</v>
      </c>
      <c r="J118" s="19" t="s">
        <v>156</v>
      </c>
      <c r="K118" s="19" t="s">
        <v>276</v>
      </c>
      <c r="L118" s="20">
        <v>1575</v>
      </c>
      <c r="M118" s="20">
        <f t="shared" si="6"/>
        <v>400</v>
      </c>
      <c r="N118" s="20">
        <f t="shared" si="7"/>
        <v>1600</v>
      </c>
      <c r="O118" s="20">
        <v>2250</v>
      </c>
      <c r="P118" s="19" t="str">
        <f>IF($O118&lt;Configuración!$B$7,"NO","SI")</f>
        <v>SI</v>
      </c>
      <c r="Q118" s="20">
        <f>IF($P118="NO","NO APLICA",MAX(CEILING(($O118*(1-Configuración!$B$2))/Configuración!$B$3,Configuración!$B$6),Configuración!$B$5))</f>
        <v>230</v>
      </c>
      <c r="R118" s="20">
        <f>IF($Q118="NO APLICA","NO APLICA",$Q118*Configuración!$B$3)</f>
        <v>1840</v>
      </c>
      <c r="S118" s="19" t="str">
        <f>IF($O118&lt;Configuración!$B$8,"NO","SI")</f>
        <v>NO</v>
      </c>
      <c r="T118" s="20" t="str">
        <f>IF($S118="NO","NO APLICA",MAX(CEILING(($O118*(1-Configuración!$B$2))/Configuración!$B$4,Configuración!$B$6),Configuración!$B$5))</f>
        <v>NO APLICA</v>
      </c>
      <c r="U118" s="20" t="str">
        <f>IF($T118="NO APLICA","NO APLICA",$T118*Configuración!$B$4)</f>
        <v>NO APLICA</v>
      </c>
      <c r="V118" s="20">
        <f>MAX(CEILING($O118/Configuración!$B$9,Configuración!$B$6),Configuración!$B$5)</f>
        <v>100</v>
      </c>
      <c r="W118" s="19" t="s">
        <v>277</v>
      </c>
      <c r="X118" s="33">
        <v>46079</v>
      </c>
      <c r="Y118" s="17"/>
    </row>
    <row r="119" spans="1:25" ht="15.6" x14ac:dyDescent="0.3">
      <c r="A119" s="19" t="str">
        <f>IF(OR(E119="",F119="",G119=""),"",E119&amp;"-"&amp;F119&amp;"-"&amp;G119&amp;"-"&amp;TEXT(COUNTIFS($E$2:E119,E119,$F$2:F119,F119,$G$2:G119,G119),"000"))</f>
        <v>MOB-MEC-MET-004</v>
      </c>
      <c r="B119" s="19" t="s">
        <v>19</v>
      </c>
      <c r="C119" s="19" t="s">
        <v>410</v>
      </c>
      <c r="D119" s="19" t="s">
        <v>327</v>
      </c>
      <c r="E119" s="19" t="str">
        <f>_xlfn.XLOOKUP(B119,Configuración!A:A,Configuración!B:B,"")</f>
        <v>MOB</v>
      </c>
      <c r="F119" s="19" t="str" cm="1">
        <f t="array" ref="F119">IF($C119="","",_xlfn.XLOOKUP(1,(Configuración!D:D=$B119)*(Configuración!E:E=$C119),Configuración!F:F,""))</f>
        <v>MEC</v>
      </c>
      <c r="G119" s="19" t="str">
        <f>IF($D119="","",_xlfn.XLOOKUP($D119,Configuración!H:H,Configuración!I:I,""))</f>
        <v>MET</v>
      </c>
      <c r="H119" s="19" t="s">
        <v>161</v>
      </c>
      <c r="I119" s="19" t="s">
        <v>161</v>
      </c>
      <c r="J119" s="19" t="s">
        <v>156</v>
      </c>
      <c r="K119" s="19" t="s">
        <v>276</v>
      </c>
      <c r="L119" s="20">
        <v>910</v>
      </c>
      <c r="M119" s="20">
        <f t="shared" si="6"/>
        <v>230</v>
      </c>
      <c r="N119" s="20">
        <f t="shared" si="7"/>
        <v>920</v>
      </c>
      <c r="O119" s="20">
        <v>1300</v>
      </c>
      <c r="P119" s="19" t="str">
        <f>IF($O119&lt;Configuración!$B$7,"NO","SI")</f>
        <v>NO</v>
      </c>
      <c r="Q119" s="20" t="str">
        <f>IF($P119="NO","NO APLICA",MAX(CEILING(($O119*(1-Configuración!$B$2))/Configuración!$B$3,Configuración!$B$6),Configuración!$B$5))</f>
        <v>NO APLICA</v>
      </c>
      <c r="R119" s="20" t="str">
        <f>IF($Q119="NO APLICA","NO APLICA",$Q119*Configuración!$B$3)</f>
        <v>NO APLICA</v>
      </c>
      <c r="S119" s="19" t="str">
        <f>IF($O119&lt;Configuración!$B$8,"NO","SI")</f>
        <v>NO</v>
      </c>
      <c r="T119" s="20" t="str">
        <f>IF($S119="NO","NO APLICA",MAX(CEILING(($O119*(1-Configuración!$B$2))/Configuración!$B$4,Configuración!$B$6),Configuración!$B$5))</f>
        <v>NO APLICA</v>
      </c>
      <c r="U119" s="20" t="str">
        <f>IF($T119="NO APLICA","NO APLICA",$T119*Configuración!$B$4)</f>
        <v>NO APLICA</v>
      </c>
      <c r="V119" s="20">
        <f>MAX(CEILING($O119/Configuración!$B$9,Configuración!$B$6),Configuración!$B$5)</f>
        <v>100</v>
      </c>
      <c r="W119" s="19" t="s">
        <v>277</v>
      </c>
      <c r="X119" s="33">
        <v>46079</v>
      </c>
      <c r="Y119" s="17"/>
    </row>
    <row r="120" spans="1:25" ht="15.6" x14ac:dyDescent="0.3">
      <c r="A120" s="19" t="str">
        <f>IF(OR(E120="",F120="",G120=""),"",E120&amp;"-"&amp;F120&amp;"-"&amp;G120&amp;"-"&amp;TEXT(COUNTIFS($E$2:E120,E120,$F$2:F120,F120,$G$2:G120,G120),"000"))</f>
        <v>MOB-MEC-MET-005</v>
      </c>
      <c r="B120" s="19" t="s">
        <v>19</v>
      </c>
      <c r="C120" s="19" t="s">
        <v>410</v>
      </c>
      <c r="D120" s="19" t="s">
        <v>327</v>
      </c>
      <c r="E120" s="19" t="str">
        <f>_xlfn.XLOOKUP(B120,Configuración!A:A,Configuración!B:B,"")</f>
        <v>MOB</v>
      </c>
      <c r="F120" s="19" t="str" cm="1">
        <f t="array" ref="F120">IF($C120="","",_xlfn.XLOOKUP(1,(Configuración!D:D=$B120)*(Configuración!E:E=$C120),Configuración!F:F,""))</f>
        <v>MEC</v>
      </c>
      <c r="G120" s="19" t="str">
        <f>IF($D120="","",_xlfn.XLOOKUP($D120,Configuración!H:H,Configuración!I:I,""))</f>
        <v>MET</v>
      </c>
      <c r="H120" s="19" t="s">
        <v>163</v>
      </c>
      <c r="I120" s="19" t="s">
        <v>163</v>
      </c>
      <c r="J120" s="19" t="s">
        <v>156</v>
      </c>
      <c r="K120" s="19" t="s">
        <v>276</v>
      </c>
      <c r="L120" s="20">
        <v>1190</v>
      </c>
      <c r="M120" s="20">
        <f t="shared" si="6"/>
        <v>300</v>
      </c>
      <c r="N120" s="20">
        <f t="shared" si="7"/>
        <v>1200</v>
      </c>
      <c r="O120" s="20">
        <v>1700</v>
      </c>
      <c r="P120" s="19" t="str">
        <f>IF($O120&lt;Configuración!$B$7,"NO","SI")</f>
        <v>NO</v>
      </c>
      <c r="Q120" s="20" t="str">
        <f>IF($P120="NO","NO APLICA",MAX(CEILING(($O120*(1-Configuración!$B$2))/Configuración!$B$3,Configuración!$B$6),Configuración!$B$5))</f>
        <v>NO APLICA</v>
      </c>
      <c r="R120" s="20" t="str">
        <f>IF($Q120="NO APLICA","NO APLICA",$Q120*Configuración!$B$3)</f>
        <v>NO APLICA</v>
      </c>
      <c r="S120" s="19" t="str">
        <f>IF($O120&lt;Configuración!$B$8,"NO","SI")</f>
        <v>NO</v>
      </c>
      <c r="T120" s="20" t="str">
        <f>IF($S120="NO","NO APLICA",MAX(CEILING(($O120*(1-Configuración!$B$2))/Configuración!$B$4,Configuración!$B$6),Configuración!$B$5))</f>
        <v>NO APLICA</v>
      </c>
      <c r="U120" s="20" t="str">
        <f>IF($T120="NO APLICA","NO APLICA",$T120*Configuración!$B$4)</f>
        <v>NO APLICA</v>
      </c>
      <c r="V120" s="20">
        <f>MAX(CEILING($O120/Configuración!$B$9,Configuración!$B$6),Configuración!$B$5)</f>
        <v>100</v>
      </c>
      <c r="W120" s="19" t="s">
        <v>277</v>
      </c>
      <c r="X120" s="33">
        <v>46079</v>
      </c>
      <c r="Y120" s="17"/>
    </row>
    <row r="121" spans="1:25" ht="15.6" x14ac:dyDescent="0.3">
      <c r="A121" s="19" t="str">
        <f>IF(OR(E121="",F121="",G121=""),"",E121&amp;"-"&amp;F121&amp;"-"&amp;G121&amp;"-"&amp;TEXT(COUNTIFS($E$2:E121,E121,$F$2:F121,F121,$G$2:G121,G121),"000"))</f>
        <v>MOB-MEC-MET-006</v>
      </c>
      <c r="B121" s="19" t="s">
        <v>19</v>
      </c>
      <c r="C121" s="19" t="s">
        <v>410</v>
      </c>
      <c r="D121" s="19" t="s">
        <v>327</v>
      </c>
      <c r="E121" s="19" t="str">
        <f>_xlfn.XLOOKUP(B121,Configuración!A:A,Configuración!B:B,"")</f>
        <v>MOB</v>
      </c>
      <c r="F121" s="19" t="str" cm="1">
        <f t="array" ref="F121">IF($C121="","",_xlfn.XLOOKUP(1,(Configuración!D:D=$B121)*(Configuración!E:E=$C121),Configuración!F:F,""))</f>
        <v>MEC</v>
      </c>
      <c r="G121" s="19" t="str">
        <f>IF($D121="","",_xlfn.XLOOKUP($D121,Configuración!H:H,Configuración!I:I,""))</f>
        <v>MET</v>
      </c>
      <c r="H121" s="19" t="s">
        <v>162</v>
      </c>
      <c r="I121" s="19" t="s">
        <v>162</v>
      </c>
      <c r="J121" s="19" t="s">
        <v>156</v>
      </c>
      <c r="K121" s="19" t="s">
        <v>276</v>
      </c>
      <c r="L121" s="20">
        <v>1050</v>
      </c>
      <c r="M121" s="20">
        <f t="shared" si="6"/>
        <v>270</v>
      </c>
      <c r="N121" s="20">
        <f t="shared" si="7"/>
        <v>1080</v>
      </c>
      <c r="O121" s="20">
        <v>1500</v>
      </c>
      <c r="P121" s="19" t="str">
        <f>IF($O121&lt;Configuración!$B$7,"NO","SI")</f>
        <v>NO</v>
      </c>
      <c r="Q121" s="20" t="str">
        <f>IF($P121="NO","NO APLICA",MAX(CEILING(($O121*(1-Configuración!$B$2))/Configuración!$B$3,Configuración!$B$6),Configuración!$B$5))</f>
        <v>NO APLICA</v>
      </c>
      <c r="R121" s="20" t="str">
        <f>IF($Q121="NO APLICA","NO APLICA",$Q121*Configuración!$B$3)</f>
        <v>NO APLICA</v>
      </c>
      <c r="S121" s="19" t="str">
        <f>IF($O121&lt;Configuración!$B$8,"NO","SI")</f>
        <v>NO</v>
      </c>
      <c r="T121" s="20" t="str">
        <f>IF($S121="NO","NO APLICA",MAX(CEILING(($O121*(1-Configuración!$B$2))/Configuración!$B$4,Configuración!$B$6),Configuración!$B$5))</f>
        <v>NO APLICA</v>
      </c>
      <c r="U121" s="20" t="str">
        <f>IF($T121="NO APLICA","NO APLICA",$T121*Configuración!$B$4)</f>
        <v>NO APLICA</v>
      </c>
      <c r="V121" s="20">
        <f>MAX(CEILING($O121/Configuración!$B$9,Configuración!$B$6),Configuración!$B$5)</f>
        <v>100</v>
      </c>
      <c r="W121" s="19" t="s">
        <v>277</v>
      </c>
      <c r="X121" s="33">
        <v>46079</v>
      </c>
      <c r="Y121" s="17"/>
    </row>
    <row r="122" spans="1:25" ht="15.6" x14ac:dyDescent="0.3">
      <c r="A122" s="19" t="str">
        <f>IF(OR(E122="",F122="",G122=""),"",E122&amp;"-"&amp;F122&amp;"-"&amp;G122&amp;"-"&amp;TEXT(COUNTIFS($E$2:E122,E122,$F$2:F122,F122,$G$2:G122,G122),"000"))</f>
        <v>MOB-MEC-MET-007</v>
      </c>
      <c r="B122" s="19" t="s">
        <v>19</v>
      </c>
      <c r="C122" s="19" t="s">
        <v>410</v>
      </c>
      <c r="D122" s="19" t="s">
        <v>327</v>
      </c>
      <c r="E122" s="19" t="str">
        <f>_xlfn.XLOOKUP(B122,Configuración!A:A,Configuración!B:B,"")</f>
        <v>MOB</v>
      </c>
      <c r="F122" s="19" t="str" cm="1">
        <f t="array" ref="F122">IF($C122="","",_xlfn.XLOOKUP(1,(Configuración!D:D=$B122)*(Configuración!E:E=$C122),Configuración!F:F,""))</f>
        <v>MEC</v>
      </c>
      <c r="G122" s="19" t="str">
        <f>IF($D122="","",_xlfn.XLOOKUP($D122,Configuración!H:H,Configuración!I:I,""))</f>
        <v>MET</v>
      </c>
      <c r="H122" s="19" t="s">
        <v>160</v>
      </c>
      <c r="I122" s="19" t="s">
        <v>160</v>
      </c>
      <c r="J122" s="19" t="s">
        <v>156</v>
      </c>
      <c r="K122" s="19" t="s">
        <v>276</v>
      </c>
      <c r="L122" s="20">
        <v>700</v>
      </c>
      <c r="M122" s="20">
        <f t="shared" si="6"/>
        <v>180</v>
      </c>
      <c r="N122" s="20">
        <f t="shared" si="7"/>
        <v>720</v>
      </c>
      <c r="O122" s="20">
        <v>995</v>
      </c>
      <c r="P122" s="19" t="str">
        <f>IF($O122&lt;Configuración!$B$7,"NO","SI")</f>
        <v>NO</v>
      </c>
      <c r="Q122" s="20" t="str">
        <f>IF($P122="NO","NO APLICA",MAX(CEILING(($O122*(1-Configuración!$B$2))/Configuración!$B$3,Configuración!$B$6),Configuración!$B$5))</f>
        <v>NO APLICA</v>
      </c>
      <c r="R122" s="20" t="str">
        <f>IF($Q122="NO APLICA","NO APLICA",$Q122*Configuración!$B$3)</f>
        <v>NO APLICA</v>
      </c>
      <c r="S122" s="19" t="str">
        <f>IF($O122&lt;Configuración!$B$8,"NO","SI")</f>
        <v>NO</v>
      </c>
      <c r="T122" s="20" t="str">
        <f>IF($S122="NO","NO APLICA",MAX(CEILING(($O122*(1-Configuración!$B$2))/Configuración!$B$4,Configuración!$B$6),Configuración!$B$5))</f>
        <v>NO APLICA</v>
      </c>
      <c r="U122" s="20" t="str">
        <f>IF($T122="NO APLICA","NO APLICA",$T122*Configuración!$B$4)</f>
        <v>NO APLICA</v>
      </c>
      <c r="V122" s="20">
        <f>MAX(CEILING($O122/Configuración!$B$9,Configuración!$B$6),Configuración!$B$5)</f>
        <v>100</v>
      </c>
      <c r="W122" s="19" t="s">
        <v>277</v>
      </c>
      <c r="X122" s="33">
        <v>46079</v>
      </c>
      <c r="Y122" s="17"/>
    </row>
    <row r="123" spans="1:25" ht="15.6" x14ac:dyDescent="0.3">
      <c r="A123" s="19" t="str">
        <f>IF(OR(E123="",F123="",G123=""),"",E123&amp;"-"&amp;F123&amp;"-"&amp;G123&amp;"-"&amp;TEXT(COUNTIFS($E$2:E123,E123,$F$2:F123,F123,$G$2:G123,G123),"000"))</f>
        <v>MOB-MEC-TUB-001</v>
      </c>
      <c r="B123" s="19" t="s">
        <v>19</v>
      </c>
      <c r="C123" s="19" t="s">
        <v>410</v>
      </c>
      <c r="D123" s="19" t="s">
        <v>329</v>
      </c>
      <c r="E123" s="19" t="str">
        <f>_xlfn.XLOOKUP(B123,Configuración!A:A,Configuración!B:B,"")</f>
        <v>MOB</v>
      </c>
      <c r="F123" s="19" t="str" cm="1">
        <f t="array" ref="F123">IF($C123="","",_xlfn.XLOOKUP(1,(Configuración!D:D=$B123)*(Configuración!E:E=$C123),Configuración!F:F,""))</f>
        <v>MEC</v>
      </c>
      <c r="G123" s="19" t="str">
        <f>IF($D123="","",_xlfn.XLOOKUP($D123,Configuración!H:H,Configuración!I:I,""))</f>
        <v>TUB</v>
      </c>
      <c r="H123" s="19" t="s">
        <v>172</v>
      </c>
      <c r="I123" s="19" t="s">
        <v>172</v>
      </c>
      <c r="J123" s="19" t="s">
        <v>156</v>
      </c>
      <c r="K123" s="19" t="s">
        <v>276</v>
      </c>
      <c r="L123" s="20">
        <v>1890</v>
      </c>
      <c r="M123" s="20">
        <f t="shared" si="6"/>
        <v>480</v>
      </c>
      <c r="N123" s="20">
        <f t="shared" si="7"/>
        <v>1920</v>
      </c>
      <c r="O123" s="20">
        <v>2700</v>
      </c>
      <c r="P123" s="19" t="str">
        <f>IF($O123&lt;Configuración!$B$7,"NO","SI")</f>
        <v>SI</v>
      </c>
      <c r="Q123" s="20">
        <f>IF($P123="NO","NO APLICA",MAX(CEILING(($O123*(1-Configuración!$B$2))/Configuración!$B$3,Configuración!$B$6),Configuración!$B$5))</f>
        <v>270</v>
      </c>
      <c r="R123" s="20">
        <f>IF($Q123="NO APLICA","NO APLICA",$Q123*Configuración!$B$3)</f>
        <v>2160</v>
      </c>
      <c r="S123" s="19" t="str">
        <f>IF($O123&lt;Configuración!$B$8,"NO","SI")</f>
        <v>NO</v>
      </c>
      <c r="T123" s="20" t="str">
        <f>IF($S123="NO","NO APLICA",MAX(CEILING(($O123*(1-Configuración!$B$2))/Configuración!$B$4,Configuración!$B$6),Configuración!$B$5))</f>
        <v>NO APLICA</v>
      </c>
      <c r="U123" s="20" t="str">
        <f>IF($T123="NO APLICA","NO APLICA",$T123*Configuración!$B$4)</f>
        <v>NO APLICA</v>
      </c>
      <c r="V123" s="20">
        <f>MAX(CEILING($O123/Configuración!$B$9,Configuración!$B$6),Configuración!$B$5)</f>
        <v>100</v>
      </c>
      <c r="W123" s="19" t="s">
        <v>277</v>
      </c>
      <c r="X123" s="33">
        <v>46079</v>
      </c>
      <c r="Y123" s="17"/>
    </row>
    <row r="124" spans="1:25" ht="15.6" x14ac:dyDescent="0.3">
      <c r="A124" s="19" t="str">
        <f>IF(OR(E124="",F124="",G124=""),"",E124&amp;"-"&amp;F124&amp;"-"&amp;G124&amp;"-"&amp;TEXT(COUNTIFS($E$2:E124,E124,$F$2:F124,F124,$G$2:G124,G124),"000"))</f>
        <v>MOB-MES-PSL-001</v>
      </c>
      <c r="B124" s="19" t="s">
        <v>19</v>
      </c>
      <c r="C124" s="19" t="s">
        <v>320</v>
      </c>
      <c r="D124" s="19" t="s">
        <v>328</v>
      </c>
      <c r="E124" s="19" t="str">
        <f>_xlfn.XLOOKUP(B124,Configuración!A:A,Configuración!B:B,"")</f>
        <v>MOB</v>
      </c>
      <c r="F124" s="19" t="str" cm="1">
        <f t="array" ref="F124">IF($C124="","",_xlfn.XLOOKUP(1,(Configuración!D:D=$B124)*(Configuración!E:E=$C124),Configuración!F:F,""))</f>
        <v>MES</v>
      </c>
      <c r="G124" s="19" t="str">
        <f>IF($D124="","",_xlfn.XLOOKUP($D124,Configuración!H:H,Configuración!I:I,""))</f>
        <v>PSL</v>
      </c>
      <c r="H124" s="19" t="s">
        <v>113</v>
      </c>
      <c r="I124" s="19" t="s">
        <v>113</v>
      </c>
      <c r="J124" s="19" t="s">
        <v>114</v>
      </c>
      <c r="K124" s="19" t="s">
        <v>276</v>
      </c>
      <c r="L124" s="20">
        <v>1960</v>
      </c>
      <c r="M124" s="20">
        <f t="shared" si="6"/>
        <v>490</v>
      </c>
      <c r="N124" s="20">
        <f t="shared" si="7"/>
        <v>1960</v>
      </c>
      <c r="O124" s="20">
        <v>2800</v>
      </c>
      <c r="P124" s="19" t="str">
        <f>IF($O124&lt;Configuración!$B$7,"NO","SI")</f>
        <v>SI</v>
      </c>
      <c r="Q124" s="20">
        <f>IF($P124="NO","NO APLICA",MAX(CEILING(($O124*(1-Configuración!$B$2))/Configuración!$B$3,Configuración!$B$6),Configuración!$B$5))</f>
        <v>280</v>
      </c>
      <c r="R124" s="20">
        <f>IF($Q124="NO APLICA","NO APLICA",$Q124*Configuración!$B$3)</f>
        <v>2240</v>
      </c>
      <c r="S124" s="19" t="str">
        <f>IF($O124&lt;Configuración!$B$8,"NO","SI")</f>
        <v>NO</v>
      </c>
      <c r="T124" s="20" t="str">
        <f>IF($S124="NO","NO APLICA",MAX(CEILING(($O124*(1-Configuración!$B$2))/Configuración!$B$4,Configuración!$B$6),Configuración!$B$5))</f>
        <v>NO APLICA</v>
      </c>
      <c r="U124" s="20" t="str">
        <f>IF($T124="NO APLICA","NO APLICA",$T124*Configuración!$B$4)</f>
        <v>NO APLICA</v>
      </c>
      <c r="V124" s="20">
        <f>MAX(CEILING($O124/Configuración!$B$9,Configuración!$B$6),Configuración!$B$5)</f>
        <v>100</v>
      </c>
      <c r="W124" s="19" t="s">
        <v>277</v>
      </c>
      <c r="X124" s="33">
        <v>46079</v>
      </c>
      <c r="Y124" s="17"/>
    </row>
    <row r="125" spans="1:25" ht="15.6" x14ac:dyDescent="0.3">
      <c r="A125" s="19" t="str">
        <f>IF(OR(E125="",F125="",G125=""),"",E125&amp;"-"&amp;F125&amp;"-"&amp;G125&amp;"-"&amp;TEXT(COUNTIFS($E$2:E125,E125,$F$2:F125,F125,$G$2:G125,G125),"000"))</f>
        <v>MOB-MES-PSL-002</v>
      </c>
      <c r="B125" s="19" t="s">
        <v>19</v>
      </c>
      <c r="C125" s="19" t="s">
        <v>320</v>
      </c>
      <c r="D125" s="19" t="s">
        <v>328</v>
      </c>
      <c r="E125" s="19" t="str">
        <f>_xlfn.XLOOKUP(B125,Configuración!A:A,Configuración!B:B,"")</f>
        <v>MOB</v>
      </c>
      <c r="F125" s="19" t="str" cm="1">
        <f t="array" ref="F125">IF($C125="","",_xlfn.XLOOKUP(1,(Configuración!D:D=$B125)*(Configuración!E:E=$C125),Configuración!F:F,""))</f>
        <v>MES</v>
      </c>
      <c r="G125" s="19" t="str">
        <f>IF($D125="","",_xlfn.XLOOKUP($D125,Configuración!H:H,Configuración!I:I,""))</f>
        <v>PSL</v>
      </c>
      <c r="H125" s="19" t="s">
        <v>116</v>
      </c>
      <c r="I125" s="19" t="s">
        <v>116</v>
      </c>
      <c r="J125" s="19" t="s">
        <v>114</v>
      </c>
      <c r="K125" s="19" t="s">
        <v>276</v>
      </c>
      <c r="L125" s="20">
        <v>2800</v>
      </c>
      <c r="M125" s="20">
        <f t="shared" si="6"/>
        <v>700</v>
      </c>
      <c r="N125" s="20">
        <f t="shared" si="7"/>
        <v>2800</v>
      </c>
      <c r="O125" s="20">
        <v>4000</v>
      </c>
      <c r="P125" s="19" t="str">
        <f>IF($O125&lt;Configuración!$B$7,"NO","SI")</f>
        <v>SI</v>
      </c>
      <c r="Q125" s="20">
        <f>IF($P125="NO","NO APLICA",MAX(CEILING(($O125*(1-Configuración!$B$2))/Configuración!$B$3,Configuración!$B$6),Configuración!$B$5))</f>
        <v>400</v>
      </c>
      <c r="R125" s="20">
        <f>IF($Q125="NO APLICA","NO APLICA",$Q125*Configuración!$B$3)</f>
        <v>3200</v>
      </c>
      <c r="S125" s="19" t="str">
        <f>IF($O125&lt;Configuración!$B$8,"NO","SI")</f>
        <v>SI</v>
      </c>
      <c r="T125" s="20">
        <f>IF($S125="NO","NO APLICA",MAX(CEILING(($O125*(1-Configuración!$B$2))/Configuración!$B$4,Configuración!$B$6),Configuración!$B$5))</f>
        <v>270</v>
      </c>
      <c r="U125" s="20">
        <f>IF($T125="NO APLICA","NO APLICA",$T125*Configuración!$B$4)</f>
        <v>3240</v>
      </c>
      <c r="V125" s="20">
        <f>MAX(CEILING($O125/Configuración!$B$9,Configuración!$B$6),Configuración!$B$5)</f>
        <v>100</v>
      </c>
      <c r="W125" s="19" t="s">
        <v>277</v>
      </c>
      <c r="X125" s="33">
        <v>46079</v>
      </c>
      <c r="Y125" s="17"/>
    </row>
    <row r="126" spans="1:25" ht="15.6" x14ac:dyDescent="0.3">
      <c r="A126" s="19" t="str">
        <f>IF(OR(E126="",F126="",G126=""),"",E126&amp;"-"&amp;F126&amp;"-"&amp;G126&amp;"-"&amp;TEXT(COUNTIFS($E$2:E126,E126,$F$2:F126,F126,$G$2:G126,G126),"000"))</f>
        <v>MOB-MES-PSL-003</v>
      </c>
      <c r="B126" s="19" t="s">
        <v>19</v>
      </c>
      <c r="C126" s="19" t="s">
        <v>320</v>
      </c>
      <c r="D126" s="19" t="s">
        <v>328</v>
      </c>
      <c r="E126" s="19" t="str">
        <f>_xlfn.XLOOKUP(B126,Configuración!A:A,Configuración!B:B,"")</f>
        <v>MOB</v>
      </c>
      <c r="F126" s="19" t="str" cm="1">
        <f t="array" ref="F126">IF($C126="","",_xlfn.XLOOKUP(1,(Configuración!D:D=$B126)*(Configuración!E:E=$C126),Configuración!F:F,""))</f>
        <v>MES</v>
      </c>
      <c r="G126" s="19" t="str">
        <f>IF($D126="","",_xlfn.XLOOKUP($D126,Configuración!H:H,Configuración!I:I,""))</f>
        <v>PSL</v>
      </c>
      <c r="H126" s="19" t="s">
        <v>117</v>
      </c>
      <c r="I126" s="19" t="s">
        <v>117</v>
      </c>
      <c r="J126" s="19" t="s">
        <v>114</v>
      </c>
      <c r="K126" s="19" t="s">
        <v>276</v>
      </c>
      <c r="L126" s="20">
        <v>3780</v>
      </c>
      <c r="M126" s="20">
        <f t="shared" si="6"/>
        <v>950</v>
      </c>
      <c r="N126" s="20">
        <f t="shared" si="7"/>
        <v>3800</v>
      </c>
      <c r="O126" s="20">
        <v>5400</v>
      </c>
      <c r="P126" s="19" t="str">
        <f>IF($O126&lt;Configuración!$B$7,"NO","SI")</f>
        <v>SI</v>
      </c>
      <c r="Q126" s="20">
        <f>IF($P126="NO","NO APLICA",MAX(CEILING(($O126*(1-Configuración!$B$2))/Configuración!$B$3,Configuración!$B$6),Configuración!$B$5))</f>
        <v>540</v>
      </c>
      <c r="R126" s="20">
        <f>IF($Q126="NO APLICA","NO APLICA",$Q126*Configuración!$B$3)</f>
        <v>4320</v>
      </c>
      <c r="S126" s="19" t="str">
        <f>IF($O126&lt;Configuración!$B$8,"NO","SI")</f>
        <v>SI</v>
      </c>
      <c r="T126" s="20">
        <f>IF($S126="NO","NO APLICA",MAX(CEILING(($O126*(1-Configuración!$B$2))/Configuración!$B$4,Configuración!$B$6),Configuración!$B$5))</f>
        <v>360</v>
      </c>
      <c r="U126" s="20">
        <f>IF($T126="NO APLICA","NO APLICA",$T126*Configuración!$B$4)</f>
        <v>4320</v>
      </c>
      <c r="V126" s="20">
        <f>MAX(CEILING($O126/Configuración!$B$9,Configuración!$B$6),Configuración!$B$5)</f>
        <v>110</v>
      </c>
      <c r="W126" s="19" t="s">
        <v>277</v>
      </c>
      <c r="X126" s="33">
        <v>46079</v>
      </c>
      <c r="Y126" s="17"/>
    </row>
    <row r="127" spans="1:25" ht="15.6" x14ac:dyDescent="0.3">
      <c r="A127" s="19" t="str">
        <f>IF(OR(E127="",F127="",G127=""),"",E127&amp;"-"&amp;F127&amp;"-"&amp;G127&amp;"-"&amp;TEXT(COUNTIFS($E$2:E127,E127,$F$2:F127,F127,$G$2:G127,G127),"000"))</f>
        <v>MOB-MES-TUB-001</v>
      </c>
      <c r="B127" s="19" t="s">
        <v>19</v>
      </c>
      <c r="C127" s="19" t="s">
        <v>320</v>
      </c>
      <c r="D127" s="19" t="s">
        <v>329</v>
      </c>
      <c r="E127" s="19" t="str">
        <f>_xlfn.XLOOKUP(B127,Configuración!A:A,Configuración!B:B,"")</f>
        <v>MOB</v>
      </c>
      <c r="F127" s="19" t="str" cm="1">
        <f t="array" ref="F127">IF($C127="","",_xlfn.XLOOKUP(1,(Configuración!D:D=$B127)*(Configuración!E:E=$C127),Configuración!F:F,""))</f>
        <v>MES</v>
      </c>
      <c r="G127" s="19" t="str">
        <f>IF($D127="","",_xlfn.XLOOKUP($D127,Configuración!H:H,Configuración!I:I,""))</f>
        <v>TUB</v>
      </c>
      <c r="H127" s="19" t="s">
        <v>205</v>
      </c>
      <c r="I127" s="19" t="s">
        <v>205</v>
      </c>
      <c r="J127" s="19" t="s">
        <v>156</v>
      </c>
      <c r="K127" s="19" t="s">
        <v>276</v>
      </c>
      <c r="L127" s="20">
        <v>5460</v>
      </c>
      <c r="M127" s="20">
        <f t="shared" si="6"/>
        <v>1370</v>
      </c>
      <c r="N127" s="20">
        <f t="shared" si="7"/>
        <v>5480</v>
      </c>
      <c r="O127" s="20">
        <v>7800</v>
      </c>
      <c r="P127" s="19" t="str">
        <f>IF($O127&lt;Configuración!$B$7,"NO","SI")</f>
        <v>SI</v>
      </c>
      <c r="Q127" s="20">
        <f>IF($P127="NO","NO APLICA",MAX(CEILING(($O127*(1-Configuración!$B$2))/Configuración!$B$3,Configuración!$B$6),Configuración!$B$5))</f>
        <v>780</v>
      </c>
      <c r="R127" s="20">
        <f>IF($Q127="NO APLICA","NO APLICA",$Q127*Configuración!$B$3)</f>
        <v>6240</v>
      </c>
      <c r="S127" s="19" t="str">
        <f>IF($O127&lt;Configuración!$B$8,"NO","SI")</f>
        <v>SI</v>
      </c>
      <c r="T127" s="20">
        <f>IF($S127="NO","NO APLICA",MAX(CEILING(($O127*(1-Configuración!$B$2))/Configuración!$B$4,Configuración!$B$6),Configuración!$B$5))</f>
        <v>520</v>
      </c>
      <c r="U127" s="20">
        <f>IF($T127="NO APLICA","NO APLICA",$T127*Configuración!$B$4)</f>
        <v>6240</v>
      </c>
      <c r="V127" s="20">
        <f>MAX(CEILING($O127/Configuración!$B$9,Configuración!$B$6),Configuración!$B$5)</f>
        <v>150</v>
      </c>
      <c r="W127" s="19" t="s">
        <v>277</v>
      </c>
      <c r="X127" s="33">
        <v>46079</v>
      </c>
      <c r="Y127" s="17"/>
    </row>
    <row r="128" spans="1:25" ht="15.6" x14ac:dyDescent="0.3">
      <c r="A128" s="19" t="str">
        <f>IF(OR(E128="",F128="",G128=""),"",E128&amp;"-"&amp;F128&amp;"-"&amp;G128&amp;"-"&amp;TEXT(COUNTIFS($E$2:E128,E128,$F$2:F128,F128,$G$2:G128,G128),"000"))</f>
        <v>MOB-MES-TUB-002</v>
      </c>
      <c r="B128" s="19" t="s">
        <v>19</v>
      </c>
      <c r="C128" s="19" t="s">
        <v>320</v>
      </c>
      <c r="D128" s="19" t="s">
        <v>329</v>
      </c>
      <c r="E128" s="19" t="str">
        <f>_xlfn.XLOOKUP(B128,Configuración!A:A,Configuración!B:B,"")</f>
        <v>MOB</v>
      </c>
      <c r="F128" s="19" t="str" cm="1">
        <f t="array" ref="F128">IF($C128="","",_xlfn.XLOOKUP(1,(Configuración!D:D=$B128)*(Configuración!E:E=$C128),Configuración!F:F,""))</f>
        <v>MES</v>
      </c>
      <c r="G128" s="19" t="str">
        <f>IF($D128="","",_xlfn.XLOOKUP($D128,Configuración!H:H,Configuración!I:I,""))</f>
        <v>TUB</v>
      </c>
      <c r="H128" s="19" t="s">
        <v>206</v>
      </c>
      <c r="I128" s="19" t="s">
        <v>206</v>
      </c>
      <c r="J128" s="19" t="s">
        <v>156</v>
      </c>
      <c r="K128" s="19" t="s">
        <v>276</v>
      </c>
      <c r="L128" s="20">
        <v>5880</v>
      </c>
      <c r="M128" s="20">
        <f t="shared" si="6"/>
        <v>1470</v>
      </c>
      <c r="N128" s="20">
        <f t="shared" si="7"/>
        <v>5880</v>
      </c>
      <c r="O128" s="20">
        <v>8400</v>
      </c>
      <c r="P128" s="19" t="str">
        <f>IF($O128&lt;Configuración!$B$7,"NO","SI")</f>
        <v>SI</v>
      </c>
      <c r="Q128" s="20">
        <f>IF($P128="NO","NO APLICA",MAX(CEILING(($O128*(1-Configuración!$B$2))/Configuración!$B$3,Configuración!$B$6),Configuración!$B$5))</f>
        <v>840</v>
      </c>
      <c r="R128" s="20">
        <f>IF($Q128="NO APLICA","NO APLICA",$Q128*Configuración!$B$3)</f>
        <v>6720</v>
      </c>
      <c r="S128" s="19" t="str">
        <f>IF($O128&lt;Configuración!$B$8,"NO","SI")</f>
        <v>SI</v>
      </c>
      <c r="T128" s="20">
        <f>IF($S128="NO","NO APLICA",MAX(CEILING(($O128*(1-Configuración!$B$2))/Configuración!$B$4,Configuración!$B$6),Configuración!$B$5))</f>
        <v>560</v>
      </c>
      <c r="U128" s="20">
        <f>IF($T128="NO APLICA","NO APLICA",$T128*Configuración!$B$4)</f>
        <v>6720</v>
      </c>
      <c r="V128" s="20">
        <f>MAX(CEILING($O128/Configuración!$B$9,Configuración!$B$6),Configuración!$B$5)</f>
        <v>170</v>
      </c>
      <c r="W128" s="19" t="s">
        <v>277</v>
      </c>
      <c r="X128" s="33">
        <v>46079</v>
      </c>
      <c r="Y128" s="17"/>
    </row>
    <row r="129" spans="1:25" ht="15.6" x14ac:dyDescent="0.3">
      <c r="A129" s="19" t="str">
        <f>IF(OR(E129="",F129="",G129=""),"",E129&amp;"-"&amp;F129&amp;"-"&amp;G129&amp;"-"&amp;TEXT(COUNTIFS($E$2:E129,E129,$F$2:F129,F129,$G$2:G129,G129),"000"))</f>
        <v>MOB-MES-PSL-004</v>
      </c>
      <c r="B129" s="19" t="s">
        <v>19</v>
      </c>
      <c r="C129" s="19" t="s">
        <v>320</v>
      </c>
      <c r="D129" s="19" t="s">
        <v>328</v>
      </c>
      <c r="E129" s="19" t="str">
        <f>_xlfn.XLOOKUP(B129,Configuración!A:A,Configuración!B:B,"")</f>
        <v>MOB</v>
      </c>
      <c r="F129" s="19" t="str" cm="1">
        <f t="array" ref="F129">IF($C129="","",_xlfn.XLOOKUP(1,(Configuración!D:D=$B129)*(Configuración!E:E=$C129),Configuración!F:F,""))</f>
        <v>MES</v>
      </c>
      <c r="G129" s="19" t="str">
        <f>IF($D129="","",_xlfn.XLOOKUP($D129,Configuración!H:H,Configuración!I:I,""))</f>
        <v>PSL</v>
      </c>
      <c r="H129" s="19" t="s">
        <v>122</v>
      </c>
      <c r="I129" s="19" t="s">
        <v>122</v>
      </c>
      <c r="J129" s="19" t="s">
        <v>120</v>
      </c>
      <c r="K129" s="19" t="s">
        <v>276</v>
      </c>
      <c r="L129" s="20">
        <v>1180</v>
      </c>
      <c r="M129" s="20">
        <f t="shared" si="6"/>
        <v>300</v>
      </c>
      <c r="N129" s="20">
        <f t="shared" si="7"/>
        <v>1200</v>
      </c>
      <c r="O129" s="20">
        <v>1690</v>
      </c>
      <c r="P129" s="19" t="str">
        <f>IF($O129&lt;Configuración!$B$7,"NO","SI")</f>
        <v>NO</v>
      </c>
      <c r="Q129" s="20" t="str">
        <f>IF($P129="NO","NO APLICA",MAX(CEILING(($O129*(1-Configuración!$B$2))/Configuración!$B$3,Configuración!$B$6),Configuración!$B$5))</f>
        <v>NO APLICA</v>
      </c>
      <c r="R129" s="20" t="str">
        <f>IF($Q129="NO APLICA","NO APLICA",$Q129*Configuración!$B$3)</f>
        <v>NO APLICA</v>
      </c>
      <c r="S129" s="19" t="str">
        <f>IF($O129&lt;Configuración!$B$8,"NO","SI")</f>
        <v>NO</v>
      </c>
      <c r="T129" s="20" t="str">
        <f>IF($S129="NO","NO APLICA",MAX(CEILING(($O129*(1-Configuración!$B$2))/Configuración!$B$4,Configuración!$B$6),Configuración!$B$5))</f>
        <v>NO APLICA</v>
      </c>
      <c r="U129" s="20" t="str">
        <f>IF($T129="NO APLICA","NO APLICA",$T129*Configuración!$B$4)</f>
        <v>NO APLICA</v>
      </c>
      <c r="V129" s="20">
        <f>MAX(CEILING($O129/Configuración!$B$9,Configuración!$B$6),Configuración!$B$5)</f>
        <v>100</v>
      </c>
      <c r="W129" s="19" t="s">
        <v>277</v>
      </c>
      <c r="X129" s="33">
        <v>46079</v>
      </c>
      <c r="Y129" s="17"/>
    </row>
    <row r="130" spans="1:25" ht="15.6" x14ac:dyDescent="0.3">
      <c r="A130" s="19" t="str">
        <f>IF(OR(E130="",F130="",G130=""),"",E130&amp;"-"&amp;F130&amp;"-"&amp;G130&amp;"-"&amp;TEXT(COUNTIFS($E$2:E130,E130,$F$2:F130,F130,$G$2:G130,G130),"000"))</f>
        <v>MOB-MES-TUB-003</v>
      </c>
      <c r="B130" s="19" t="s">
        <v>19</v>
      </c>
      <c r="C130" s="19" t="s">
        <v>320</v>
      </c>
      <c r="D130" s="19" t="s">
        <v>329</v>
      </c>
      <c r="E130" s="19" t="str">
        <f>_xlfn.XLOOKUP(B130,Configuración!A:A,Configuración!B:B,"")</f>
        <v>MOB</v>
      </c>
      <c r="F130" s="19" t="str" cm="1">
        <f t="array" ref="F130">IF($C130="","",_xlfn.XLOOKUP(1,(Configuración!D:D=$B130)*(Configuración!E:E=$C130),Configuración!F:F,""))</f>
        <v>MES</v>
      </c>
      <c r="G130" s="19" t="str">
        <f>IF($D130="","",_xlfn.XLOOKUP($D130,Configuración!H:H,Configuración!I:I,""))</f>
        <v>TUB</v>
      </c>
      <c r="H130" s="19" t="s">
        <v>195</v>
      </c>
      <c r="I130" s="19" t="s">
        <v>195</v>
      </c>
      <c r="J130" s="19" t="s">
        <v>156</v>
      </c>
      <c r="K130" s="19" t="s">
        <v>276</v>
      </c>
      <c r="L130" s="20">
        <v>1750</v>
      </c>
      <c r="M130" s="20">
        <f t="shared" ref="M130:M161" si="8">MAX(CEILING(L130/4,10),100)</f>
        <v>440</v>
      </c>
      <c r="N130" s="20">
        <f t="shared" ref="N130:N161" si="9">M130*4</f>
        <v>1760</v>
      </c>
      <c r="O130" s="20">
        <v>2500</v>
      </c>
      <c r="P130" s="19" t="str">
        <f>IF($O130&lt;Configuración!$B$7,"NO","SI")</f>
        <v>SI</v>
      </c>
      <c r="Q130" s="20">
        <f>IF($P130="NO","NO APLICA",MAX(CEILING(($O130*(1-Configuración!$B$2))/Configuración!$B$3,Configuración!$B$6),Configuración!$B$5))</f>
        <v>250</v>
      </c>
      <c r="R130" s="20">
        <f>IF($Q130="NO APLICA","NO APLICA",$Q130*Configuración!$B$3)</f>
        <v>2000</v>
      </c>
      <c r="S130" s="19" t="str">
        <f>IF($O130&lt;Configuración!$B$8,"NO","SI")</f>
        <v>NO</v>
      </c>
      <c r="T130" s="20" t="str">
        <f>IF($S130="NO","NO APLICA",MAX(CEILING(($O130*(1-Configuración!$B$2))/Configuración!$B$4,Configuración!$B$6),Configuración!$B$5))</f>
        <v>NO APLICA</v>
      </c>
      <c r="U130" s="20" t="str">
        <f>IF($T130="NO APLICA","NO APLICA",$T130*Configuración!$B$4)</f>
        <v>NO APLICA</v>
      </c>
      <c r="V130" s="20">
        <f>MAX(CEILING($O130/Configuración!$B$9,Configuración!$B$6),Configuración!$B$5)</f>
        <v>100</v>
      </c>
      <c r="W130" s="19" t="s">
        <v>277</v>
      </c>
      <c r="X130" s="33">
        <v>46079</v>
      </c>
      <c r="Y130" s="17"/>
    </row>
    <row r="131" spans="1:25" ht="15.6" x14ac:dyDescent="0.3">
      <c r="A131" s="19" t="str">
        <f>IF(OR(E131="",F131="",G131=""),"",E131&amp;"-"&amp;F131&amp;"-"&amp;G131&amp;"-"&amp;TEXT(COUNTIFS($E$2:E131,E131,$F$2:F131,F131,$G$2:G131,G131),"000"))</f>
        <v>MOB-MES-TUB-004</v>
      </c>
      <c r="B131" s="19" t="s">
        <v>19</v>
      </c>
      <c r="C131" s="19" t="s">
        <v>320</v>
      </c>
      <c r="D131" s="19" t="s">
        <v>329</v>
      </c>
      <c r="E131" s="19" t="str">
        <f>_xlfn.XLOOKUP(B131,Configuración!A:A,Configuración!B:B,"")</f>
        <v>MOB</v>
      </c>
      <c r="F131" s="19" t="str" cm="1">
        <f t="array" ref="F131">IF($C131="","",_xlfn.XLOOKUP(1,(Configuración!D:D=$B131)*(Configuración!E:E=$C131),Configuración!F:F,""))</f>
        <v>MES</v>
      </c>
      <c r="G131" s="19" t="str">
        <f>IF($D131="","",_xlfn.XLOOKUP($D131,Configuración!H:H,Configuración!I:I,""))</f>
        <v>TUB</v>
      </c>
      <c r="H131" s="19" t="s">
        <v>194</v>
      </c>
      <c r="I131" s="19" t="s">
        <v>194</v>
      </c>
      <c r="J131" s="19" t="s">
        <v>156</v>
      </c>
      <c r="K131" s="19" t="s">
        <v>276</v>
      </c>
      <c r="L131" s="20">
        <v>2100</v>
      </c>
      <c r="M131" s="20">
        <f t="shared" si="8"/>
        <v>530</v>
      </c>
      <c r="N131" s="20">
        <f t="shared" si="9"/>
        <v>2120</v>
      </c>
      <c r="O131" s="20">
        <v>2995</v>
      </c>
      <c r="P131" s="19" t="str">
        <f>IF($O131&lt;Configuración!$B$7,"NO","SI")</f>
        <v>SI</v>
      </c>
      <c r="Q131" s="20">
        <f>IF($P131="NO","NO APLICA",MAX(CEILING(($O131*(1-Configuración!$B$2))/Configuración!$B$3,Configuración!$B$6),Configuración!$B$5))</f>
        <v>300</v>
      </c>
      <c r="R131" s="20">
        <f>IF($Q131="NO APLICA","NO APLICA",$Q131*Configuración!$B$3)</f>
        <v>2400</v>
      </c>
      <c r="S131" s="19" t="str">
        <f>IF($O131&lt;Configuración!$B$8,"NO","SI")</f>
        <v>NO</v>
      </c>
      <c r="T131" s="20" t="str">
        <f>IF($S131="NO","NO APLICA",MAX(CEILING(($O131*(1-Configuración!$B$2))/Configuración!$B$4,Configuración!$B$6),Configuración!$B$5))</f>
        <v>NO APLICA</v>
      </c>
      <c r="U131" s="20" t="str">
        <f>IF($T131="NO APLICA","NO APLICA",$T131*Configuración!$B$4)</f>
        <v>NO APLICA</v>
      </c>
      <c r="V131" s="20">
        <f>MAX(CEILING($O131/Configuración!$B$9,Configuración!$B$6),Configuración!$B$5)</f>
        <v>100</v>
      </c>
      <c r="W131" s="19" t="s">
        <v>277</v>
      </c>
      <c r="X131" s="33">
        <v>46079</v>
      </c>
      <c r="Y131" s="17"/>
    </row>
    <row r="132" spans="1:25" ht="15.6" x14ac:dyDescent="0.3">
      <c r="A132" s="19" t="str">
        <f>IF(OR(E132="",F132="",G132=""),"",E132&amp;"-"&amp;F132&amp;"-"&amp;G132&amp;"-"&amp;TEXT(COUNTIFS($E$2:E132,E132,$F$2:F132,F132,$G$2:G132,G132),"000"))</f>
        <v>MOB-MES-TUB-005</v>
      </c>
      <c r="B132" s="19" t="s">
        <v>19</v>
      </c>
      <c r="C132" s="19" t="s">
        <v>320</v>
      </c>
      <c r="D132" s="19" t="s">
        <v>329</v>
      </c>
      <c r="E132" s="19" t="str">
        <f>_xlfn.XLOOKUP(B132,Configuración!A:A,Configuración!B:B,"")</f>
        <v>MOB</v>
      </c>
      <c r="F132" s="19" t="str" cm="1">
        <f t="array" ref="F132">IF($C132="","",_xlfn.XLOOKUP(1,(Configuración!D:D=$B132)*(Configuración!E:E=$C132),Configuración!F:F,""))</f>
        <v>MES</v>
      </c>
      <c r="G132" s="19" t="str">
        <f>IF($D132="","",_xlfn.XLOOKUP($D132,Configuración!H:H,Configuración!I:I,""))</f>
        <v>TUB</v>
      </c>
      <c r="H132" s="19" t="s">
        <v>193</v>
      </c>
      <c r="I132" s="19" t="s">
        <v>193</v>
      </c>
      <c r="J132" s="19" t="s">
        <v>156</v>
      </c>
      <c r="K132" s="19" t="s">
        <v>276</v>
      </c>
      <c r="L132" s="20">
        <v>2800</v>
      </c>
      <c r="M132" s="20">
        <f t="shared" si="8"/>
        <v>700</v>
      </c>
      <c r="N132" s="20">
        <f t="shared" si="9"/>
        <v>2800</v>
      </c>
      <c r="O132" s="20">
        <v>3995</v>
      </c>
      <c r="P132" s="19" t="str">
        <f>IF($O132&lt;Configuración!$B$7,"NO","SI")</f>
        <v>SI</v>
      </c>
      <c r="Q132" s="20">
        <f>IF($P132="NO","NO APLICA",MAX(CEILING(($O132*(1-Configuración!$B$2))/Configuración!$B$3,Configuración!$B$6),Configuración!$B$5))</f>
        <v>400</v>
      </c>
      <c r="R132" s="20">
        <f>IF($Q132="NO APLICA","NO APLICA",$Q132*Configuración!$B$3)</f>
        <v>3200</v>
      </c>
      <c r="S132" s="19" t="str">
        <f>IF($O132&lt;Configuración!$B$8,"NO","SI")</f>
        <v>SI</v>
      </c>
      <c r="T132" s="20">
        <f>IF($S132="NO","NO APLICA",MAX(CEILING(($O132*(1-Configuración!$B$2))/Configuración!$B$4,Configuración!$B$6),Configuración!$B$5))</f>
        <v>270</v>
      </c>
      <c r="U132" s="20">
        <f>IF($T132="NO APLICA","NO APLICA",$T132*Configuración!$B$4)</f>
        <v>3240</v>
      </c>
      <c r="V132" s="20">
        <f>MAX(CEILING($O132/Configuración!$B$9,Configuración!$B$6),Configuración!$B$5)</f>
        <v>100</v>
      </c>
      <c r="W132" s="19" t="s">
        <v>277</v>
      </c>
      <c r="X132" s="33">
        <v>46079</v>
      </c>
      <c r="Y132" s="17"/>
    </row>
    <row r="133" spans="1:25" ht="15.6" x14ac:dyDescent="0.3">
      <c r="A133" s="19" t="str">
        <f>IF(OR(E133="",F133="",G133=""),"",E133&amp;"-"&amp;F133&amp;"-"&amp;G133&amp;"-"&amp;TEXT(COUNTIFS($E$2:E133,E133,$F$2:F133,F133,$G$2:G133,G133),"000"))</f>
        <v>MOB-MEC-MAD-001</v>
      </c>
      <c r="B133" s="19" t="s">
        <v>19</v>
      </c>
      <c r="C133" s="19" t="s">
        <v>410</v>
      </c>
      <c r="D133" s="19" t="s">
        <v>209</v>
      </c>
      <c r="E133" s="19" t="str">
        <f>_xlfn.XLOOKUP(B133,Configuración!A:A,Configuración!B:B,"")</f>
        <v>MOB</v>
      </c>
      <c r="F133" s="19" t="str" cm="1">
        <f t="array" ref="F133">IF($C133="","",_xlfn.XLOOKUP(1,(Configuración!D:D=$B133)*(Configuración!E:E=$C133),Configuración!F:F,""))</f>
        <v>MEC</v>
      </c>
      <c r="G133" s="19" t="str">
        <f>IF($D133="","",_xlfn.XLOOKUP($D133,Configuración!H:H,Configuración!I:I,""))</f>
        <v>MAD</v>
      </c>
      <c r="H133" s="19" t="s">
        <v>155</v>
      </c>
      <c r="I133" s="19" t="s">
        <v>155</v>
      </c>
      <c r="J133" s="19" t="s">
        <v>156</v>
      </c>
      <c r="K133" s="19" t="s">
        <v>276</v>
      </c>
      <c r="L133" s="20">
        <v>1400</v>
      </c>
      <c r="M133" s="20">
        <f t="shared" si="8"/>
        <v>350</v>
      </c>
      <c r="N133" s="20">
        <f t="shared" si="9"/>
        <v>1400</v>
      </c>
      <c r="O133" s="20">
        <v>2000</v>
      </c>
      <c r="P133" s="19" t="str">
        <f>IF($O133&lt;Configuración!$B$7,"NO","SI")</f>
        <v>SI</v>
      </c>
      <c r="Q133" s="20">
        <f>IF($P133="NO","NO APLICA",MAX(CEILING(($O133*(1-Configuración!$B$2))/Configuración!$B$3,Configuración!$B$6),Configuración!$B$5))</f>
        <v>200</v>
      </c>
      <c r="R133" s="20">
        <f>IF($Q133="NO APLICA","NO APLICA",$Q133*Configuración!$B$3)</f>
        <v>1600</v>
      </c>
      <c r="S133" s="19" t="str">
        <f>IF($O133&lt;Configuración!$B$8,"NO","SI")</f>
        <v>NO</v>
      </c>
      <c r="T133" s="20" t="str">
        <f>IF($S133="NO","NO APLICA",MAX(CEILING(($O133*(1-Configuración!$B$2))/Configuración!$B$4,Configuración!$B$6),Configuración!$B$5))</f>
        <v>NO APLICA</v>
      </c>
      <c r="U133" s="20" t="str">
        <f>IF($T133="NO APLICA","NO APLICA",$T133*Configuración!$B$4)</f>
        <v>NO APLICA</v>
      </c>
      <c r="V133" s="20">
        <f>MAX(CEILING($O133/Configuración!$B$9,Configuración!$B$6),Configuración!$B$5)</f>
        <v>100</v>
      </c>
      <c r="W133" s="19" t="s">
        <v>277</v>
      </c>
      <c r="X133" s="33">
        <v>46079</v>
      </c>
      <c r="Y133" s="17"/>
    </row>
    <row r="134" spans="1:25" ht="15.6" x14ac:dyDescent="0.3">
      <c r="A134" s="19" t="str">
        <f>IF(OR(E134="",F134="",G134=""),"",E134&amp;"-"&amp;F134&amp;"-"&amp;G134&amp;"-"&amp;TEXT(COUNTIFS($E$2:E134,E134,$F$2:F134,F134,$G$2:G134,G134),"000"))</f>
        <v>MOB-MEC-MAD-002</v>
      </c>
      <c r="B134" s="19" t="s">
        <v>19</v>
      </c>
      <c r="C134" s="19" t="s">
        <v>410</v>
      </c>
      <c r="D134" s="19" t="s">
        <v>209</v>
      </c>
      <c r="E134" s="19" t="str">
        <f>_xlfn.XLOOKUP(B134,Configuración!A:A,Configuración!B:B,"")</f>
        <v>MOB</v>
      </c>
      <c r="F134" s="19" t="str" cm="1">
        <f t="array" ref="F134">IF($C134="","",_xlfn.XLOOKUP(1,(Configuración!D:D=$B134)*(Configuración!E:E=$C134),Configuración!F:F,""))</f>
        <v>MEC</v>
      </c>
      <c r="G134" s="19" t="str">
        <f>IF($D134="","",_xlfn.XLOOKUP($D134,Configuración!H:H,Configuración!I:I,""))</f>
        <v>MAD</v>
      </c>
      <c r="H134" s="19" t="s">
        <v>159</v>
      </c>
      <c r="I134" s="19" t="s">
        <v>159</v>
      </c>
      <c r="J134" s="19" t="s">
        <v>156</v>
      </c>
      <c r="K134" s="19" t="s">
        <v>276</v>
      </c>
      <c r="L134" s="20">
        <v>1750</v>
      </c>
      <c r="M134" s="20">
        <f t="shared" si="8"/>
        <v>440</v>
      </c>
      <c r="N134" s="20">
        <f t="shared" si="9"/>
        <v>1760</v>
      </c>
      <c r="O134" s="20">
        <v>2500</v>
      </c>
      <c r="P134" s="19" t="str">
        <f>IF($O134&lt;Configuración!$B$7,"NO","SI")</f>
        <v>SI</v>
      </c>
      <c r="Q134" s="20">
        <f>IF($P134="NO","NO APLICA",MAX(CEILING(($O134*(1-Configuración!$B$2))/Configuración!$B$3,Configuración!$B$6),Configuración!$B$5))</f>
        <v>250</v>
      </c>
      <c r="R134" s="20">
        <f>IF($Q134="NO APLICA","NO APLICA",$Q134*Configuración!$B$3)</f>
        <v>2000</v>
      </c>
      <c r="S134" s="19" t="str">
        <f>IF($O134&lt;Configuración!$B$8,"NO","SI")</f>
        <v>NO</v>
      </c>
      <c r="T134" s="20" t="str">
        <f>IF($S134="NO","NO APLICA",MAX(CEILING(($O134*(1-Configuración!$B$2))/Configuración!$B$4,Configuración!$B$6),Configuración!$B$5))</f>
        <v>NO APLICA</v>
      </c>
      <c r="U134" s="20" t="str">
        <f>IF($T134="NO APLICA","NO APLICA",$T134*Configuración!$B$4)</f>
        <v>NO APLICA</v>
      </c>
      <c r="V134" s="20">
        <f>MAX(CEILING($O134/Configuración!$B$9,Configuración!$B$6),Configuración!$B$5)</f>
        <v>100</v>
      </c>
      <c r="W134" s="19" t="s">
        <v>277</v>
      </c>
      <c r="X134" s="33">
        <v>46079</v>
      </c>
      <c r="Y134" s="17"/>
    </row>
    <row r="135" spans="1:25" ht="15.6" x14ac:dyDescent="0.3">
      <c r="A135" s="19" t="str">
        <f>IF(OR(E135="",F135="",G135=""),"",E135&amp;"-"&amp;F135&amp;"-"&amp;G135&amp;"-"&amp;TEXT(COUNTIFS($E$2:E135,E135,$F$2:F135,F135,$G$2:G135,G135),"000"))</f>
        <v>MOB-MEC-MAD-003</v>
      </c>
      <c r="B135" s="19" t="s">
        <v>19</v>
      </c>
      <c r="C135" s="19" t="s">
        <v>410</v>
      </c>
      <c r="D135" s="19" t="s">
        <v>209</v>
      </c>
      <c r="E135" s="19" t="str">
        <f>_xlfn.XLOOKUP(B135,Configuración!A:A,Configuración!B:B,"")</f>
        <v>MOB</v>
      </c>
      <c r="F135" s="19" t="str" cm="1">
        <f t="array" ref="F135">IF($C135="","",_xlfn.XLOOKUP(1,(Configuración!D:D=$B135)*(Configuración!E:E=$C135),Configuración!F:F,""))</f>
        <v>MEC</v>
      </c>
      <c r="G135" s="19" t="str">
        <f>IF($D135="","",_xlfn.XLOOKUP($D135,Configuración!H:H,Configuración!I:I,""))</f>
        <v>MAD</v>
      </c>
      <c r="H135" s="19" t="s">
        <v>158</v>
      </c>
      <c r="I135" s="19" t="s">
        <v>158</v>
      </c>
      <c r="J135" s="19" t="s">
        <v>156</v>
      </c>
      <c r="K135" s="19" t="s">
        <v>276</v>
      </c>
      <c r="L135" s="20">
        <v>1610</v>
      </c>
      <c r="M135" s="20">
        <f t="shared" si="8"/>
        <v>410</v>
      </c>
      <c r="N135" s="20">
        <f t="shared" si="9"/>
        <v>1640</v>
      </c>
      <c r="O135" s="20">
        <v>2300</v>
      </c>
      <c r="P135" s="19" t="str">
        <f>IF($O135&lt;Configuración!$B$7,"NO","SI")</f>
        <v>SI</v>
      </c>
      <c r="Q135" s="20">
        <f>IF($P135="NO","NO APLICA",MAX(CEILING(($O135*(1-Configuración!$B$2))/Configuración!$B$3,Configuración!$B$6),Configuración!$B$5))</f>
        <v>230</v>
      </c>
      <c r="R135" s="20">
        <f>IF($Q135="NO APLICA","NO APLICA",$Q135*Configuración!$B$3)</f>
        <v>1840</v>
      </c>
      <c r="S135" s="19" t="str">
        <f>IF($O135&lt;Configuración!$B$8,"NO","SI")</f>
        <v>NO</v>
      </c>
      <c r="T135" s="20" t="str">
        <f>IF($S135="NO","NO APLICA",MAX(CEILING(($O135*(1-Configuración!$B$2))/Configuración!$B$4,Configuración!$B$6),Configuración!$B$5))</f>
        <v>NO APLICA</v>
      </c>
      <c r="U135" s="20" t="str">
        <f>IF($T135="NO APLICA","NO APLICA",$T135*Configuración!$B$4)</f>
        <v>NO APLICA</v>
      </c>
      <c r="V135" s="20">
        <f>MAX(CEILING($O135/Configuración!$B$9,Configuración!$B$6),Configuración!$B$5)</f>
        <v>100</v>
      </c>
      <c r="W135" s="19" t="s">
        <v>277</v>
      </c>
      <c r="X135" s="33">
        <v>46079</v>
      </c>
      <c r="Y135" s="17"/>
    </row>
    <row r="136" spans="1:25" ht="15.6" x14ac:dyDescent="0.3">
      <c r="A136" s="19" t="str">
        <f>IF(OR(E136="",F136="",G136=""),"",E136&amp;"-"&amp;F136&amp;"-"&amp;G136&amp;"-"&amp;TEXT(COUNTIFS($E$2:E136,E136,$F$2:F136,F136,$G$2:G136,G136),"000"))</f>
        <v>HOG-FRZ-ALG-003</v>
      </c>
      <c r="B136" s="19" t="s">
        <v>250</v>
      </c>
      <c r="C136" s="19" t="s">
        <v>505</v>
      </c>
      <c r="D136" s="19" t="s">
        <v>507</v>
      </c>
      <c r="E136" s="19" t="str">
        <f>_xlfn.XLOOKUP(B136,Configuración!A:A,Configuración!B:B,"")</f>
        <v>HOG</v>
      </c>
      <c r="F136" s="19" t="str" cm="1">
        <f t="array" ref="F136">IF($C136="","",_xlfn.XLOOKUP(1,(Configuración!D:D=$B136)*(Configuración!E:E=$C136),Configuración!F:F,""))</f>
        <v>FRZ</v>
      </c>
      <c r="G136" s="19" t="str">
        <f>IF($D136="","",_xlfn.XLOOKUP($D136,Configuración!H:H,Configuración!I:I,""))</f>
        <v>ALG</v>
      </c>
      <c r="H136" s="19" t="s">
        <v>500</v>
      </c>
      <c r="I136" s="19" t="s">
        <v>500</v>
      </c>
      <c r="J136" s="19" t="s">
        <v>156</v>
      </c>
      <c r="K136" s="19"/>
      <c r="L136" s="20">
        <v>1120</v>
      </c>
      <c r="M136" s="20">
        <f t="shared" si="8"/>
        <v>280</v>
      </c>
      <c r="N136" s="20">
        <f t="shared" si="9"/>
        <v>1120</v>
      </c>
      <c r="O136" s="20">
        <v>1600</v>
      </c>
      <c r="P136" s="19" t="str">
        <f>IF($O136&lt;Configuración!$B$7,"NO","SI")</f>
        <v>NO</v>
      </c>
      <c r="Q136" s="20" t="str">
        <f>IF($P136="NO","NO APLICA",MAX(CEILING(($O136*(1-Configuración!$B$2))/Configuración!$B$3,Configuración!$B$6),Configuración!$B$5))</f>
        <v>NO APLICA</v>
      </c>
      <c r="R136" s="20" t="str">
        <f>IF($Q136="NO APLICA","NO APLICA",$Q136*Configuración!$B$3)</f>
        <v>NO APLICA</v>
      </c>
      <c r="S136" s="19" t="str">
        <f>IF($O136&lt;Configuración!$B$8,"NO","SI")</f>
        <v>NO</v>
      </c>
      <c r="T136" s="20" t="str">
        <f>IF($S136="NO","NO APLICA",MAX(CEILING(($O136*(1-Configuración!$B$2))/Configuración!$B$4,Configuración!$B$6),Configuración!$B$5))</f>
        <v>NO APLICA</v>
      </c>
      <c r="U136" s="20" t="str">
        <f>IF($T136="NO APLICA","NO APLICA",$T136*Configuración!$B$4)</f>
        <v>NO APLICA</v>
      </c>
      <c r="V136" s="20">
        <f>MAX(CEILING($O136/Configuración!$B$9,Configuración!$B$6),Configuración!$B$5)</f>
        <v>100</v>
      </c>
      <c r="W136" s="19"/>
      <c r="X136" s="33"/>
      <c r="Y136" s="17"/>
    </row>
    <row r="137" spans="1:25" ht="31.2" x14ac:dyDescent="0.3">
      <c r="A137" s="19" t="str">
        <f>IF(OR(E137="",F137="",G137=""),"",E137&amp;"-"&amp;F137&amp;"-"&amp;G137&amp;"-"&amp;TEXT(COUNTIFS($E$2:E137,E137,$F$2:F137,F137,$G$2:G137,G137),"000"))</f>
        <v>ELE-PLA-PSL-001</v>
      </c>
      <c r="B137" s="19" t="s">
        <v>20</v>
      </c>
      <c r="C137" s="19" t="s">
        <v>79</v>
      </c>
      <c r="D137" s="19" t="s">
        <v>328</v>
      </c>
      <c r="E137" s="19" t="str">
        <f>_xlfn.XLOOKUP(B137,Configuración!A:A,Configuración!B:B,"")</f>
        <v>ELE</v>
      </c>
      <c r="F137" s="19" t="str" cm="1">
        <f t="array" ref="F137">IF($C137="","",_xlfn.XLOOKUP(1,(Configuración!D:D=$B137)*(Configuración!E:E=$C137),Configuración!F:F,""))</f>
        <v>PLA</v>
      </c>
      <c r="G137" s="19" t="str">
        <f>IF($D137="","",_xlfn.XLOOKUP($D137,Configuración!H:H,Configuración!I:I,""))</f>
        <v>PSL</v>
      </c>
      <c r="H137" s="19" t="s">
        <v>79</v>
      </c>
      <c r="I137" s="19" t="s">
        <v>461</v>
      </c>
      <c r="J137" s="19" t="s">
        <v>76</v>
      </c>
      <c r="K137" s="19" t="s">
        <v>276</v>
      </c>
      <c r="L137" s="20">
        <v>910</v>
      </c>
      <c r="M137" s="20">
        <f t="shared" si="8"/>
        <v>230</v>
      </c>
      <c r="N137" s="20">
        <f t="shared" si="9"/>
        <v>920</v>
      </c>
      <c r="O137" s="20">
        <v>1300</v>
      </c>
      <c r="P137" s="19" t="str">
        <f>IF($O137&lt;Configuración!$B$7,"NO","SI")</f>
        <v>NO</v>
      </c>
      <c r="Q137" s="20" t="str">
        <f>IF($P137="NO","NO APLICA",MAX(CEILING(($O137*(1-Configuración!$B$2))/Configuración!$B$3,Configuración!$B$6),Configuración!$B$5))</f>
        <v>NO APLICA</v>
      </c>
      <c r="R137" s="20" t="str">
        <f>IF($Q137="NO APLICA","NO APLICA",$Q137*Configuración!$B$3)</f>
        <v>NO APLICA</v>
      </c>
      <c r="S137" s="19" t="str">
        <f>IF($O137&lt;Configuración!$B$8,"NO","SI")</f>
        <v>NO</v>
      </c>
      <c r="T137" s="20" t="str">
        <f>IF($S137="NO","NO APLICA",MAX(CEILING(($O137*(1-Configuración!$B$2))/Configuración!$B$4,Configuración!$B$6),Configuración!$B$5))</f>
        <v>NO APLICA</v>
      </c>
      <c r="U137" s="20" t="str">
        <f>IF($T137="NO APLICA","NO APLICA",$T137*Configuración!$B$4)</f>
        <v>NO APLICA</v>
      </c>
      <c r="V137" s="20">
        <f>MAX(CEILING($O137/Configuración!$B$9,Configuración!$B$6),Configuración!$B$5)</f>
        <v>100</v>
      </c>
      <c r="W137" s="19" t="s">
        <v>277</v>
      </c>
      <c r="X137" s="33">
        <v>46079</v>
      </c>
      <c r="Y137" s="17"/>
    </row>
    <row r="138" spans="1:25" ht="15.6" x14ac:dyDescent="0.3">
      <c r="A138" s="19" t="str">
        <f>IF(OR(E138="",F138="",G138=""),"",E138&amp;"-"&amp;F138&amp;"-"&amp;G138&amp;"-"&amp;TEXT(COUNTIFS($E$2:E138,E138,$F$2:F138,F138,$G$2:G138,G138),"000"))</f>
        <v>MOB-PUP-TUB-001</v>
      </c>
      <c r="B138" s="19" t="s">
        <v>19</v>
      </c>
      <c r="C138" s="19" t="s">
        <v>491</v>
      </c>
      <c r="D138" s="19" t="s">
        <v>329</v>
      </c>
      <c r="E138" s="19" t="str">
        <f>_xlfn.XLOOKUP(B138,Configuración!A:A,Configuración!B:B,"")</f>
        <v>MOB</v>
      </c>
      <c r="F138" s="19" t="str" cm="1">
        <f t="array" ref="F138">IF($C138="","",_xlfn.XLOOKUP(1,(Configuración!D:D=$B138)*(Configuración!E:E=$C138),Configuración!F:F,""))</f>
        <v>PUP</v>
      </c>
      <c r="G138" s="19" t="str">
        <f>IF($D138="","",_xlfn.XLOOKUP($D138,Configuración!H:H,Configuración!I:I,""))</f>
        <v>TUB</v>
      </c>
      <c r="H138" s="19" t="s">
        <v>490</v>
      </c>
      <c r="I138" s="19" t="s">
        <v>490</v>
      </c>
      <c r="J138" s="19" t="s">
        <v>156</v>
      </c>
      <c r="K138" s="19" t="s">
        <v>276</v>
      </c>
      <c r="L138" s="20">
        <v>1610</v>
      </c>
      <c r="M138" s="20">
        <f t="shared" si="8"/>
        <v>410</v>
      </c>
      <c r="N138" s="20">
        <f t="shared" si="9"/>
        <v>1640</v>
      </c>
      <c r="O138" s="20">
        <v>2300</v>
      </c>
      <c r="P138" s="19" t="str">
        <f>IF($O138&lt;Configuración!$B$7,"NO","SI")</f>
        <v>SI</v>
      </c>
      <c r="Q138" s="20">
        <f>IF($P138="NO","NO APLICA",MAX(CEILING(($O138*(1-Configuración!$B$2))/Configuración!$B$3,Configuración!$B$6),Configuración!$B$5))</f>
        <v>230</v>
      </c>
      <c r="R138" s="20">
        <f>IF($Q138="NO APLICA","NO APLICA",$Q138*Configuración!$B$3)</f>
        <v>1840</v>
      </c>
      <c r="S138" s="19" t="str">
        <f>IF($O138&lt;Configuración!$B$8,"NO","SI")</f>
        <v>NO</v>
      </c>
      <c r="T138" s="20" t="str">
        <f>IF($S138="NO","NO APLICA",MAX(CEILING(($O138*(1-Configuración!$B$2))/Configuración!$B$4,Configuración!$B$6),Configuración!$B$5))</f>
        <v>NO APLICA</v>
      </c>
      <c r="U138" s="20" t="str">
        <f>IF($T138="NO APLICA","NO APLICA",$T138*Configuración!$B$4)</f>
        <v>NO APLICA</v>
      </c>
      <c r="V138" s="20">
        <f>MAX(CEILING($O138/Configuración!$B$9,Configuración!$B$6),Configuración!$B$5)</f>
        <v>100</v>
      </c>
      <c r="W138" s="19" t="s">
        <v>277</v>
      </c>
      <c r="X138" s="33">
        <v>46079</v>
      </c>
      <c r="Y138" s="17"/>
    </row>
    <row r="139" spans="1:25" ht="15.6" x14ac:dyDescent="0.3">
      <c r="A139" s="19" t="str">
        <f>IF(OR(E139="",F139="",G139=""),"",E139&amp;"-"&amp;F139&amp;"-"&amp;G139&amp;"-"&amp;TEXT(COUNTIFS($E$2:E139,E139,$F$2:F139,F139,$G$2:G139,G139),"000"))</f>
        <v>MOB-REP-MET-001</v>
      </c>
      <c r="B139" s="19" t="s">
        <v>19</v>
      </c>
      <c r="C139" s="19" t="s">
        <v>390</v>
      </c>
      <c r="D139" s="19" t="s">
        <v>327</v>
      </c>
      <c r="E139" s="19" t="str">
        <f>_xlfn.XLOOKUP(B139,Configuración!A:A,Configuración!B:B,"")</f>
        <v>MOB</v>
      </c>
      <c r="F139" s="19" t="str" cm="1">
        <f t="array" ref="F139">IF($C139="","",_xlfn.XLOOKUP(1,(Configuración!D:D=$B139)*(Configuración!E:E=$C139),Configuración!F:F,""))</f>
        <v>REP</v>
      </c>
      <c r="G139" s="19" t="str">
        <f>IF($D139="","",_xlfn.XLOOKUP($D139,Configuración!H:H,Configuración!I:I,""))</f>
        <v>MET</v>
      </c>
      <c r="H139" s="19" t="s">
        <v>168</v>
      </c>
      <c r="I139" s="19" t="s">
        <v>168</v>
      </c>
      <c r="J139" s="19" t="s">
        <v>156</v>
      </c>
      <c r="K139" s="19" t="s">
        <v>276</v>
      </c>
      <c r="L139" s="20">
        <v>2030</v>
      </c>
      <c r="M139" s="20">
        <f t="shared" si="8"/>
        <v>510</v>
      </c>
      <c r="N139" s="20">
        <f t="shared" si="9"/>
        <v>2040</v>
      </c>
      <c r="O139" s="20">
        <v>2900</v>
      </c>
      <c r="P139" s="19" t="str">
        <f>IF($O139&lt;Configuración!$B$7,"NO","SI")</f>
        <v>SI</v>
      </c>
      <c r="Q139" s="20">
        <f>IF($P139="NO","NO APLICA",MAX(CEILING(($O139*(1-Configuración!$B$2))/Configuración!$B$3,Configuración!$B$6),Configuración!$B$5))</f>
        <v>290</v>
      </c>
      <c r="R139" s="20">
        <f>IF($Q139="NO APLICA","NO APLICA",$Q139*Configuración!$B$3)</f>
        <v>2320</v>
      </c>
      <c r="S139" s="19" t="str">
        <f>IF($O139&lt;Configuración!$B$8,"NO","SI")</f>
        <v>NO</v>
      </c>
      <c r="T139" s="20" t="str">
        <f>IF($S139="NO","NO APLICA",MAX(CEILING(($O139*(1-Configuración!$B$2))/Configuración!$B$4,Configuración!$B$6),Configuración!$B$5))</f>
        <v>NO APLICA</v>
      </c>
      <c r="U139" s="20" t="str">
        <f>IF($T139="NO APLICA","NO APLICA",$T139*Configuración!$B$4)</f>
        <v>NO APLICA</v>
      </c>
      <c r="V139" s="20">
        <f>MAX(CEILING($O139/Configuración!$B$9,Configuración!$B$6),Configuración!$B$5)</f>
        <v>100</v>
      </c>
      <c r="W139" s="19" t="s">
        <v>277</v>
      </c>
      <c r="X139" s="33">
        <v>46079</v>
      </c>
      <c r="Y139" s="17"/>
    </row>
    <row r="140" spans="1:25" ht="15.6" x14ac:dyDescent="0.3">
      <c r="A140" s="19" t="str">
        <f>IF(OR(E140="",F140="",G140=""),"",E140&amp;"-"&amp;F140&amp;"-"&amp;G140&amp;"-"&amp;TEXT(COUNTIFS($E$2:E140,E140,$F$2:F140,F140,$G$2:G140,G140),"000"))</f>
        <v>MOB-REP-MET-002</v>
      </c>
      <c r="B140" s="19" t="s">
        <v>19</v>
      </c>
      <c r="C140" s="19" t="s">
        <v>390</v>
      </c>
      <c r="D140" s="19" t="s">
        <v>327</v>
      </c>
      <c r="E140" s="19" t="str">
        <f>_xlfn.XLOOKUP(B140,Configuración!A:A,Configuración!B:B,"")</f>
        <v>MOB</v>
      </c>
      <c r="F140" s="19" t="str" cm="1">
        <f t="array" ref="F140">IF($C140="","",_xlfn.XLOOKUP(1,(Configuración!D:D=$B140)*(Configuración!E:E=$C140),Configuración!F:F,""))</f>
        <v>REP</v>
      </c>
      <c r="G140" s="19" t="str">
        <f>IF($D140="","",_xlfn.XLOOKUP($D140,Configuración!H:H,Configuración!I:I,""))</f>
        <v>MET</v>
      </c>
      <c r="H140" s="19" t="s">
        <v>167</v>
      </c>
      <c r="I140" s="19" t="s">
        <v>167</v>
      </c>
      <c r="J140" s="19" t="s">
        <v>156</v>
      </c>
      <c r="K140" s="19" t="s">
        <v>276</v>
      </c>
      <c r="L140" s="20">
        <v>1960</v>
      </c>
      <c r="M140" s="20">
        <f t="shared" si="8"/>
        <v>490</v>
      </c>
      <c r="N140" s="20">
        <f t="shared" si="9"/>
        <v>1960</v>
      </c>
      <c r="O140" s="20">
        <v>2800</v>
      </c>
      <c r="P140" s="19" t="str">
        <f>IF($O140&lt;Configuración!$B$7,"NO","SI")</f>
        <v>SI</v>
      </c>
      <c r="Q140" s="20">
        <f>IF($P140="NO","NO APLICA",MAX(CEILING(($O140*(1-Configuración!$B$2))/Configuración!$B$3,Configuración!$B$6),Configuración!$B$5))</f>
        <v>280</v>
      </c>
      <c r="R140" s="20">
        <f>IF($Q140="NO APLICA","NO APLICA",$Q140*Configuración!$B$3)</f>
        <v>2240</v>
      </c>
      <c r="S140" s="19" t="str">
        <f>IF($O140&lt;Configuración!$B$8,"NO","SI")</f>
        <v>NO</v>
      </c>
      <c r="T140" s="20" t="str">
        <f>IF($S140="NO","NO APLICA",MAX(CEILING(($O140*(1-Configuración!$B$2))/Configuración!$B$4,Configuración!$B$6),Configuración!$B$5))</f>
        <v>NO APLICA</v>
      </c>
      <c r="U140" s="20" t="str">
        <f>IF($T140="NO APLICA","NO APLICA",$T140*Configuración!$B$4)</f>
        <v>NO APLICA</v>
      </c>
      <c r="V140" s="20">
        <f>MAX(CEILING($O140/Configuración!$B$9,Configuración!$B$6),Configuración!$B$5)</f>
        <v>100</v>
      </c>
      <c r="W140" s="19" t="s">
        <v>277</v>
      </c>
      <c r="X140" s="33">
        <v>46079</v>
      </c>
      <c r="Y140" s="17"/>
    </row>
    <row r="141" spans="1:25" ht="15.6" x14ac:dyDescent="0.3">
      <c r="A141" s="19" t="str">
        <f>IF(OR(E141="",F141="",G141=""),"",E141&amp;"-"&amp;F141&amp;"-"&amp;G141&amp;"-"&amp;TEXT(COUNTIFS($E$2:E141,E141,$F$2:F141,F141,$G$2:G141,G141),"000"))</f>
        <v>ELC-STV-PSL-001</v>
      </c>
      <c r="B141" s="19" t="s">
        <v>203</v>
      </c>
      <c r="C141" s="19" t="s">
        <v>493</v>
      </c>
      <c r="D141" s="19" t="s">
        <v>328</v>
      </c>
      <c r="E141" s="19" t="str">
        <f>_xlfn.XLOOKUP(B141,Configuración!A:A,Configuración!B:B,"")</f>
        <v>ELC</v>
      </c>
      <c r="F141" s="19" t="str" cm="1">
        <f t="array" ref="F141">IF($C141="","",_xlfn.XLOOKUP(1,(Configuración!D:D=$B141)*(Configuración!E:E=$C141),Configuración!F:F,""))</f>
        <v>STV</v>
      </c>
      <c r="G141" s="19" t="str">
        <f>IF($D141="","",_xlfn.XLOOKUP($D141,Configuración!H:H,Configuración!I:I,""))</f>
        <v>PSL</v>
      </c>
      <c r="H141" s="19" t="s">
        <v>246</v>
      </c>
      <c r="I141" s="19" t="s">
        <v>246</v>
      </c>
      <c r="J141" s="19" t="s">
        <v>245</v>
      </c>
      <c r="K141" s="19" t="s">
        <v>276</v>
      </c>
      <c r="L141" s="20">
        <v>8650</v>
      </c>
      <c r="M141" s="20">
        <f t="shared" si="8"/>
        <v>2170</v>
      </c>
      <c r="N141" s="20">
        <f t="shared" si="9"/>
        <v>8680</v>
      </c>
      <c r="O141" s="20">
        <v>12350</v>
      </c>
      <c r="P141" s="19" t="str">
        <f>IF($O141&lt;Configuración!$B$7,"NO","SI")</f>
        <v>SI</v>
      </c>
      <c r="Q141" s="20">
        <f>IF($P141="NO","NO APLICA",MAX(CEILING(($O141*(1-Configuración!$B$2))/Configuración!$B$3,Configuración!$B$6),Configuración!$B$5))</f>
        <v>1240</v>
      </c>
      <c r="R141" s="20">
        <f>IF($Q141="NO APLICA","NO APLICA",$Q141*Configuración!$B$3)</f>
        <v>9920</v>
      </c>
      <c r="S141" s="19" t="str">
        <f>IF($O141&lt;Configuración!$B$8,"NO","SI")</f>
        <v>SI</v>
      </c>
      <c r="T141" s="20">
        <f>IF($S141="NO","NO APLICA",MAX(CEILING(($O141*(1-Configuración!$B$2))/Configuración!$B$4,Configuración!$B$6),Configuración!$B$5))</f>
        <v>830</v>
      </c>
      <c r="U141" s="20">
        <f>IF($T141="NO APLICA","NO APLICA",$T141*Configuración!$B$4)</f>
        <v>9960</v>
      </c>
      <c r="V141" s="20">
        <f>MAX(CEILING($O141/Configuración!$B$9,Configuración!$B$6),Configuración!$B$5)</f>
        <v>240</v>
      </c>
      <c r="W141" s="19" t="s">
        <v>277</v>
      </c>
      <c r="X141" s="33">
        <v>46079</v>
      </c>
      <c r="Y141" s="17"/>
    </row>
    <row r="142" spans="1:25" ht="15.6" x14ac:dyDescent="0.3">
      <c r="A142" s="19" t="str">
        <f>IF(OR(E142="",F142="",G142=""),"",E142&amp;"-"&amp;F142&amp;"-"&amp;G142&amp;"-"&amp;TEXT(COUNTIFS($E$2:E142,E142,$F$2:F142,F142,$G$2:G142,G142),"000"))</f>
        <v>ELC-STV-PSL-002</v>
      </c>
      <c r="B142" s="19" t="s">
        <v>203</v>
      </c>
      <c r="C142" s="19" t="s">
        <v>493</v>
      </c>
      <c r="D142" s="19" t="s">
        <v>328</v>
      </c>
      <c r="E142" s="19" t="str">
        <f>_xlfn.XLOOKUP(B142,Configuración!A:A,Configuración!B:B,"")</f>
        <v>ELC</v>
      </c>
      <c r="F142" s="19" t="str" cm="1">
        <f t="array" ref="F142">IF($C142="","",_xlfn.XLOOKUP(1,(Configuración!D:D=$B142)*(Configuración!E:E=$C142),Configuración!F:F,""))</f>
        <v>STV</v>
      </c>
      <c r="G142" s="19" t="str">
        <f>IF($D142="","",_xlfn.XLOOKUP($D142,Configuración!H:H,Configuración!I:I,""))</f>
        <v>PSL</v>
      </c>
      <c r="H142" s="19" t="s">
        <v>244</v>
      </c>
      <c r="I142" s="19" t="s">
        <v>244</v>
      </c>
      <c r="J142" s="19" t="s">
        <v>245</v>
      </c>
      <c r="K142" s="19" t="s">
        <v>276</v>
      </c>
      <c r="L142" s="20">
        <v>12200</v>
      </c>
      <c r="M142" s="20">
        <f t="shared" si="8"/>
        <v>3050</v>
      </c>
      <c r="N142" s="20">
        <f t="shared" si="9"/>
        <v>12200</v>
      </c>
      <c r="O142" s="20">
        <v>17400</v>
      </c>
      <c r="P142" s="19" t="str">
        <f>IF($O142&lt;Configuración!$B$7,"NO","SI")</f>
        <v>SI</v>
      </c>
      <c r="Q142" s="20">
        <f>IF($P142="NO","NO APLICA",MAX(CEILING(($O142*(1-Configuración!$B$2))/Configuración!$B$3,Configuración!$B$6),Configuración!$B$5))</f>
        <v>1740</v>
      </c>
      <c r="R142" s="20">
        <f>IF($Q142="NO APLICA","NO APLICA",$Q142*Configuración!$B$3)</f>
        <v>13920</v>
      </c>
      <c r="S142" s="19" t="str">
        <f>IF($O142&lt;Configuración!$B$8,"NO","SI")</f>
        <v>SI</v>
      </c>
      <c r="T142" s="20">
        <f>IF($S142="NO","NO APLICA",MAX(CEILING(($O142*(1-Configuración!$B$2))/Configuración!$B$4,Configuración!$B$6),Configuración!$B$5))</f>
        <v>1160</v>
      </c>
      <c r="U142" s="20">
        <f>IF($T142="NO APLICA","NO APLICA",$T142*Configuración!$B$4)</f>
        <v>13920</v>
      </c>
      <c r="V142" s="20">
        <f>MAX(CEILING($O142/Configuración!$B$9,Configuración!$B$6),Configuración!$B$5)</f>
        <v>340</v>
      </c>
      <c r="W142" s="19" t="s">
        <v>277</v>
      </c>
      <c r="X142" s="33">
        <v>46079</v>
      </c>
      <c r="Y142" s="17"/>
    </row>
    <row r="143" spans="1:25" ht="15.6" x14ac:dyDescent="0.3">
      <c r="A143" s="19" t="str">
        <f>IF(OR(E143="",F143="",G143=""),"",E143&amp;"-"&amp;F143&amp;"-"&amp;G143&amp;"-"&amp;TEXT(COUNTIFS($E$2:E143,E143,$F$2:F143,F143,$G$2:G143,G143),"000"))</f>
        <v>MOB-ROP-MAD-001</v>
      </c>
      <c r="B143" s="19" t="s">
        <v>19</v>
      </c>
      <c r="C143" s="19" t="s">
        <v>336</v>
      </c>
      <c r="D143" s="19" t="s">
        <v>209</v>
      </c>
      <c r="E143" s="19" t="str">
        <f>_xlfn.XLOOKUP(B143,Configuración!A:A,Configuración!B:B,"")</f>
        <v>MOB</v>
      </c>
      <c r="F143" s="19" t="str" cm="1">
        <f t="array" ref="F143">IF($C143="","",_xlfn.XLOOKUP(1,(Configuración!D:D=$B143)*(Configuración!E:E=$C143),Configuración!F:F,""))</f>
        <v>ROP</v>
      </c>
      <c r="G143" s="19" t="str">
        <f>IF($D143="","",_xlfn.XLOOKUP($D143,Configuración!H:H,Configuración!I:I,""))</f>
        <v>MAD</v>
      </c>
      <c r="H143" s="19" t="s">
        <v>210</v>
      </c>
      <c r="I143" s="19" t="s">
        <v>210</v>
      </c>
      <c r="J143" s="19" t="s">
        <v>211</v>
      </c>
      <c r="K143" s="19" t="s">
        <v>276</v>
      </c>
      <c r="L143" s="20">
        <v>7350</v>
      </c>
      <c r="M143" s="20">
        <f t="shared" si="8"/>
        <v>1840</v>
      </c>
      <c r="N143" s="20">
        <f t="shared" si="9"/>
        <v>7360</v>
      </c>
      <c r="O143" s="20">
        <v>10500</v>
      </c>
      <c r="P143" s="19" t="str">
        <f>IF($O143&lt;Configuración!$B$7,"NO","SI")</f>
        <v>SI</v>
      </c>
      <c r="Q143" s="20">
        <f>IF($P143="NO","NO APLICA",MAX(CEILING(($O143*(1-Configuración!$B$2))/Configuración!$B$3,Configuración!$B$6),Configuración!$B$5))</f>
        <v>1050</v>
      </c>
      <c r="R143" s="20">
        <f>IF($Q143="NO APLICA","NO APLICA",$Q143*Configuración!$B$3)</f>
        <v>8400</v>
      </c>
      <c r="S143" s="19" t="str">
        <f>IF($O143&lt;Configuración!$B$8,"NO","SI")</f>
        <v>SI</v>
      </c>
      <c r="T143" s="20">
        <f>IF($S143="NO","NO APLICA",MAX(CEILING(($O143*(1-Configuración!$B$2))/Configuración!$B$4,Configuración!$B$6),Configuración!$B$5))</f>
        <v>700</v>
      </c>
      <c r="U143" s="20">
        <f>IF($T143="NO APLICA","NO APLICA",$T143*Configuración!$B$4)</f>
        <v>8400</v>
      </c>
      <c r="V143" s="20">
        <f>MAX(CEILING($O143/Configuración!$B$9,Configuración!$B$6),Configuración!$B$5)</f>
        <v>210</v>
      </c>
      <c r="W143" s="19" t="s">
        <v>277</v>
      </c>
      <c r="X143" s="33">
        <v>46079</v>
      </c>
      <c r="Y143" s="17"/>
    </row>
    <row r="144" spans="1:25" ht="15.6" x14ac:dyDescent="0.3">
      <c r="A144" s="19" t="str">
        <f>IF(OR(E144="",F144="",G144=""),"",E144&amp;"-"&amp;F144&amp;"-"&amp;G144&amp;"-"&amp;TEXT(COUNTIFS($E$2:E144,E144,$F$2:F144,F144,$G$2:G144,G144),"000"))</f>
        <v>MOB-ROP-MAD-002</v>
      </c>
      <c r="B144" s="19" t="s">
        <v>19</v>
      </c>
      <c r="C144" s="19" t="s">
        <v>336</v>
      </c>
      <c r="D144" s="19" t="s">
        <v>209</v>
      </c>
      <c r="E144" s="19" t="str">
        <f>_xlfn.XLOOKUP(B144,Configuración!A:A,Configuración!B:B,"")</f>
        <v>MOB</v>
      </c>
      <c r="F144" s="19" t="str" cm="1">
        <f t="array" ref="F144">IF($C144="","",_xlfn.XLOOKUP(1,(Configuración!D:D=$B144)*(Configuración!E:E=$C144),Configuración!F:F,""))</f>
        <v>ROP</v>
      </c>
      <c r="G144" s="19" t="str">
        <f>IF($D144="","",_xlfn.XLOOKUP($D144,Configuración!H:H,Configuración!I:I,""))</f>
        <v>MAD</v>
      </c>
      <c r="H144" s="19" t="s">
        <v>212</v>
      </c>
      <c r="I144" s="19" t="s">
        <v>212</v>
      </c>
      <c r="J144" s="19" t="s">
        <v>211</v>
      </c>
      <c r="K144" s="19" t="s">
        <v>276</v>
      </c>
      <c r="L144" s="20">
        <v>7350</v>
      </c>
      <c r="M144" s="20">
        <f t="shared" si="8"/>
        <v>1840</v>
      </c>
      <c r="N144" s="20">
        <f t="shared" si="9"/>
        <v>7360</v>
      </c>
      <c r="O144" s="20">
        <v>10500</v>
      </c>
      <c r="P144" s="19" t="str">
        <f>IF($O144&lt;Configuración!$B$7,"NO","SI")</f>
        <v>SI</v>
      </c>
      <c r="Q144" s="20">
        <f>IF($P144="NO","NO APLICA",MAX(CEILING(($O144*(1-Configuración!$B$2))/Configuración!$B$3,Configuración!$B$6),Configuración!$B$5))</f>
        <v>1050</v>
      </c>
      <c r="R144" s="20">
        <f>IF($Q144="NO APLICA","NO APLICA",$Q144*Configuración!$B$3)</f>
        <v>8400</v>
      </c>
      <c r="S144" s="19" t="str">
        <f>IF($O144&lt;Configuración!$B$8,"NO","SI")</f>
        <v>SI</v>
      </c>
      <c r="T144" s="20">
        <f>IF($S144="NO","NO APLICA",MAX(CEILING(($O144*(1-Configuración!$B$2))/Configuración!$B$4,Configuración!$B$6),Configuración!$B$5))</f>
        <v>700</v>
      </c>
      <c r="U144" s="20">
        <f>IF($T144="NO APLICA","NO APLICA",$T144*Configuración!$B$4)</f>
        <v>8400</v>
      </c>
      <c r="V144" s="20">
        <f>MAX(CEILING($O144/Configuración!$B$9,Configuración!$B$6),Configuración!$B$5)</f>
        <v>210</v>
      </c>
      <c r="W144" s="19" t="s">
        <v>277</v>
      </c>
      <c r="X144" s="33">
        <v>46079</v>
      </c>
      <c r="Y144" s="17"/>
    </row>
    <row r="145" spans="1:25" ht="15.6" x14ac:dyDescent="0.3">
      <c r="A145" s="19" t="str">
        <f>IF(OR(E145="",F145="",G145=""),"",E145&amp;"-"&amp;F145&amp;"-"&amp;G145&amp;"-"&amp;TEXT(COUNTIFS($E$2:E145,E145,$F$2:F145,F145,$G$2:G145,G145),"000"))</f>
        <v>MOB-ROP-MAD-003</v>
      </c>
      <c r="B145" s="19" t="s">
        <v>19</v>
      </c>
      <c r="C145" s="19" t="s">
        <v>336</v>
      </c>
      <c r="D145" s="19" t="s">
        <v>209</v>
      </c>
      <c r="E145" s="19" t="str">
        <f>_xlfn.XLOOKUP(B145,Configuración!A:A,Configuración!B:B,"")</f>
        <v>MOB</v>
      </c>
      <c r="F145" s="19" t="str" cm="1">
        <f t="array" ref="F145">IF($C145="","",_xlfn.XLOOKUP(1,(Configuración!D:D=$B145)*(Configuración!E:E=$C145),Configuración!F:F,""))</f>
        <v>ROP</v>
      </c>
      <c r="G145" s="19" t="str">
        <f>IF($D145="","",_xlfn.XLOOKUP($D145,Configuración!H:H,Configuración!I:I,""))</f>
        <v>MAD</v>
      </c>
      <c r="H145" s="19" t="s">
        <v>207</v>
      </c>
      <c r="I145" s="19" t="s">
        <v>207</v>
      </c>
      <c r="J145" s="19" t="s">
        <v>208</v>
      </c>
      <c r="K145" s="19" t="s">
        <v>276</v>
      </c>
      <c r="L145" s="20">
        <v>6300</v>
      </c>
      <c r="M145" s="20">
        <f t="shared" si="8"/>
        <v>1580</v>
      </c>
      <c r="N145" s="20">
        <f t="shared" si="9"/>
        <v>6320</v>
      </c>
      <c r="O145" s="20">
        <v>9000</v>
      </c>
      <c r="P145" s="19" t="str">
        <f>IF($O145&lt;Configuración!$B$7,"NO","SI")</f>
        <v>SI</v>
      </c>
      <c r="Q145" s="20">
        <f>IF($P145="NO","NO APLICA",MAX(CEILING(($O145*(1-Configuración!$B$2))/Configuración!$B$3,Configuración!$B$6),Configuración!$B$5))</f>
        <v>900</v>
      </c>
      <c r="R145" s="20">
        <f>IF($Q145="NO APLICA","NO APLICA",$Q145*Configuración!$B$3)</f>
        <v>7200</v>
      </c>
      <c r="S145" s="19" t="str">
        <f>IF($O145&lt;Configuración!$B$8,"NO","SI")</f>
        <v>SI</v>
      </c>
      <c r="T145" s="20">
        <f>IF($S145="NO","NO APLICA",MAX(CEILING(($O145*(1-Configuración!$B$2))/Configuración!$B$4,Configuración!$B$6),Configuración!$B$5))</f>
        <v>600</v>
      </c>
      <c r="U145" s="20">
        <f>IF($T145="NO APLICA","NO APLICA",$T145*Configuración!$B$4)</f>
        <v>7200</v>
      </c>
      <c r="V145" s="20">
        <f>MAX(CEILING($O145/Configuración!$B$9,Configuración!$B$6),Configuración!$B$5)</f>
        <v>180</v>
      </c>
      <c r="W145" s="19" t="s">
        <v>277</v>
      </c>
      <c r="X145" s="33">
        <v>46079</v>
      </c>
      <c r="Y145" s="17"/>
    </row>
    <row r="146" spans="1:25" ht="15.6" x14ac:dyDescent="0.3">
      <c r="A146" s="19" t="str">
        <f>IF(OR(E146="",F146="",G146=""),"",E146&amp;"-"&amp;F146&amp;"-"&amp;G146&amp;"-"&amp;TEXT(COUNTIFS($E$2:E146,E146,$F$2:F146,F146,$G$2:G146,G146),"000"))</f>
        <v>MOB-ROP-MAD-004</v>
      </c>
      <c r="B146" s="19" t="s">
        <v>19</v>
      </c>
      <c r="C146" s="19" t="s">
        <v>336</v>
      </c>
      <c r="D146" s="19" t="s">
        <v>209</v>
      </c>
      <c r="E146" s="19" t="str">
        <f>_xlfn.XLOOKUP(B146,Configuración!A:A,Configuración!B:B,"")</f>
        <v>MOB</v>
      </c>
      <c r="F146" s="19" t="str" cm="1">
        <f t="array" ref="F146">IF($C146="","",_xlfn.XLOOKUP(1,(Configuración!D:D=$B146)*(Configuración!E:E=$C146),Configuración!F:F,""))</f>
        <v>ROP</v>
      </c>
      <c r="G146" s="19" t="str">
        <f>IF($D146="","",_xlfn.XLOOKUP($D146,Configuración!H:H,Configuración!I:I,""))</f>
        <v>MAD</v>
      </c>
      <c r="H146" s="19" t="s">
        <v>213</v>
      </c>
      <c r="I146" s="19" t="s">
        <v>213</v>
      </c>
      <c r="J146" s="19" t="s">
        <v>211</v>
      </c>
      <c r="K146" s="19" t="s">
        <v>276</v>
      </c>
      <c r="L146" s="20">
        <v>8400</v>
      </c>
      <c r="M146" s="20">
        <f t="shared" si="8"/>
        <v>2100</v>
      </c>
      <c r="N146" s="20">
        <f t="shared" si="9"/>
        <v>8400</v>
      </c>
      <c r="O146" s="20">
        <v>12000</v>
      </c>
      <c r="P146" s="19" t="str">
        <f>IF($O146&lt;Configuración!$B$7,"NO","SI")</f>
        <v>SI</v>
      </c>
      <c r="Q146" s="20">
        <f>IF($P146="NO","NO APLICA",MAX(CEILING(($O146*(1-Configuración!$B$2))/Configuración!$B$3,Configuración!$B$6),Configuración!$B$5))</f>
        <v>1200</v>
      </c>
      <c r="R146" s="20">
        <f>IF($Q146="NO APLICA","NO APLICA",$Q146*Configuración!$B$3)</f>
        <v>9600</v>
      </c>
      <c r="S146" s="19" t="str">
        <f>IF($O146&lt;Configuración!$B$8,"NO","SI")</f>
        <v>SI</v>
      </c>
      <c r="T146" s="20">
        <f>IF($S146="NO","NO APLICA",MAX(CEILING(($O146*(1-Configuración!$B$2))/Configuración!$B$4,Configuración!$B$6),Configuración!$B$5))</f>
        <v>800</v>
      </c>
      <c r="U146" s="20">
        <f>IF($T146="NO APLICA","NO APLICA",$T146*Configuración!$B$4)</f>
        <v>9600</v>
      </c>
      <c r="V146" s="20">
        <f>MAX(CEILING($O146/Configuración!$B$9,Configuración!$B$6),Configuración!$B$5)</f>
        <v>240</v>
      </c>
      <c r="W146" s="19" t="s">
        <v>277</v>
      </c>
      <c r="X146" s="33">
        <v>46079</v>
      </c>
      <c r="Y146" s="17"/>
    </row>
    <row r="147" spans="1:25" ht="15.6" x14ac:dyDescent="0.3">
      <c r="A147" s="19" t="str">
        <f>IF(OR(E147="",F147="",G147=""),"",E147&amp;"-"&amp;F147&amp;"-"&amp;G147&amp;"-"&amp;TEXT(COUNTIFS($E$2:E147,E147,$F$2:F147,F147,$G$2:G147,G147),"000"))</f>
        <v>MOB-ROP-TUB-001</v>
      </c>
      <c r="B147" s="19" t="s">
        <v>19</v>
      </c>
      <c r="C147" s="19" t="s">
        <v>336</v>
      </c>
      <c r="D147" s="19" t="s">
        <v>329</v>
      </c>
      <c r="E147" s="19" t="str">
        <f>_xlfn.XLOOKUP(B147,Configuración!A:A,Configuración!B:B,"")</f>
        <v>MOB</v>
      </c>
      <c r="F147" s="19" t="str" cm="1">
        <f t="array" ref="F147">IF($C147="","",_xlfn.XLOOKUP(1,(Configuración!D:D=$B147)*(Configuración!E:E=$C147),Configuración!F:F,""))</f>
        <v>ROP</v>
      </c>
      <c r="G147" s="19" t="str">
        <f>IF($D147="","",_xlfn.XLOOKUP($D147,Configuración!H:H,Configuración!I:I,""))</f>
        <v>TUB</v>
      </c>
      <c r="H147" s="19" t="s">
        <v>196</v>
      </c>
      <c r="I147" s="19" t="s">
        <v>196</v>
      </c>
      <c r="J147" s="19" t="s">
        <v>156</v>
      </c>
      <c r="K147" s="19" t="s">
        <v>276</v>
      </c>
      <c r="L147" s="20">
        <v>2100</v>
      </c>
      <c r="M147" s="20">
        <f t="shared" si="8"/>
        <v>530</v>
      </c>
      <c r="N147" s="20">
        <f t="shared" si="9"/>
        <v>2120</v>
      </c>
      <c r="O147" s="20">
        <v>3000</v>
      </c>
      <c r="P147" s="19" t="str">
        <f>IF($O147&lt;Configuración!$B$7,"NO","SI")</f>
        <v>SI</v>
      </c>
      <c r="Q147" s="20">
        <f>IF($P147="NO","NO APLICA",MAX(CEILING(($O147*(1-Configuración!$B$2))/Configuración!$B$3,Configuración!$B$6),Configuración!$B$5))</f>
        <v>300</v>
      </c>
      <c r="R147" s="20">
        <f>IF($Q147="NO APLICA","NO APLICA",$Q147*Configuración!$B$3)</f>
        <v>2400</v>
      </c>
      <c r="S147" s="19" t="str">
        <f>IF($O147&lt;Configuración!$B$8,"NO","SI")</f>
        <v>SI</v>
      </c>
      <c r="T147" s="20">
        <f>IF($S147="NO","NO APLICA",MAX(CEILING(($O147*(1-Configuración!$B$2))/Configuración!$B$4,Configuración!$B$6),Configuración!$B$5))</f>
        <v>200</v>
      </c>
      <c r="U147" s="20">
        <f>IF($T147="NO APLICA","NO APLICA",$T147*Configuración!$B$4)</f>
        <v>2400</v>
      </c>
      <c r="V147" s="20">
        <f>MAX(CEILING($O147/Configuración!$B$9,Configuración!$B$6),Configuración!$B$5)</f>
        <v>100</v>
      </c>
      <c r="W147" s="19" t="s">
        <v>277</v>
      </c>
      <c r="X147" s="33">
        <v>46079</v>
      </c>
      <c r="Y147" s="17"/>
    </row>
    <row r="148" spans="1:25" ht="15.6" x14ac:dyDescent="0.3">
      <c r="A148" s="19" t="str">
        <f>IF(OR(E148="",F148="",G148=""),"",E148&amp;"-"&amp;F148&amp;"-"&amp;G148&amp;"-"&amp;TEXT(COUNTIFS($E$2:E148,E148,$F$2:F148,F148,$G$2:G148,G148),"000"))</f>
        <v>HOG-FRZ-ALG-004</v>
      </c>
      <c r="B148" s="19" t="s">
        <v>250</v>
      </c>
      <c r="C148" s="19" t="s">
        <v>505</v>
      </c>
      <c r="D148" s="19" t="s">
        <v>507</v>
      </c>
      <c r="E148" s="19" t="str">
        <f>_xlfn.XLOOKUP(B148,Configuración!A:A,Configuración!B:B,"")</f>
        <v>HOG</v>
      </c>
      <c r="F148" s="19" t="str" cm="1">
        <f t="array" ref="F148">IF($C148="","",_xlfn.XLOOKUP(1,(Configuración!D:D=$B148)*(Configuración!E:E=$C148),Configuración!F:F,""))</f>
        <v>FRZ</v>
      </c>
      <c r="G148" s="19" t="str">
        <f>IF($D148="","",_xlfn.XLOOKUP($D148,Configuración!H:H,Configuración!I:I,""))</f>
        <v>ALG</v>
      </c>
      <c r="H148" s="19" t="s">
        <v>504</v>
      </c>
      <c r="I148" s="19" t="s">
        <v>504</v>
      </c>
      <c r="J148" s="19" t="s">
        <v>156</v>
      </c>
      <c r="K148" s="19"/>
      <c r="L148" s="20">
        <v>910</v>
      </c>
      <c r="M148" s="20">
        <f t="shared" si="8"/>
        <v>230</v>
      </c>
      <c r="N148" s="20">
        <f t="shared" si="9"/>
        <v>920</v>
      </c>
      <c r="O148" s="20">
        <v>1300</v>
      </c>
      <c r="P148" s="19" t="str">
        <f>IF($O148&lt;Configuración!$B$7,"NO","SI")</f>
        <v>NO</v>
      </c>
      <c r="Q148" s="20" t="str">
        <f>IF($P148="NO","NO APLICA",MAX(CEILING(($O148*(1-Configuración!$B$2))/Configuración!$B$3,Configuración!$B$6),Configuración!$B$5))</f>
        <v>NO APLICA</v>
      </c>
      <c r="R148" s="20" t="str">
        <f>IF($Q148="NO APLICA","NO APLICA",$Q148*Configuración!$B$3)</f>
        <v>NO APLICA</v>
      </c>
      <c r="S148" s="19" t="str">
        <f>IF($O148&lt;Configuración!$B$8,"NO","SI")</f>
        <v>NO</v>
      </c>
      <c r="T148" s="20" t="str">
        <f>IF($S148="NO","NO APLICA",MAX(CEILING(($O148*(1-Configuración!$B$2))/Configuración!$B$4,Configuración!$B$6),Configuración!$B$5))</f>
        <v>NO APLICA</v>
      </c>
      <c r="U148" s="20" t="str">
        <f>IF($T148="NO APLICA","NO APLICA",$T148*Configuración!$B$4)</f>
        <v>NO APLICA</v>
      </c>
      <c r="V148" s="20">
        <f>MAX(CEILING($O148/Configuración!$B$9,Configuración!$B$6),Configuración!$B$5)</f>
        <v>100</v>
      </c>
      <c r="W148" s="19"/>
      <c r="X148" s="33"/>
      <c r="Y148" s="17"/>
    </row>
    <row r="149" spans="1:25" ht="15.6" x14ac:dyDescent="0.3">
      <c r="A149" s="19" t="str">
        <f>IF(OR(E149="",F149="",G149=""),"",E149&amp;"-"&amp;F149&amp;"-"&amp;G149&amp;"-"&amp;TEXT(COUNTIFS($E$2:E149,E149,$F$2:F149,F149,$G$2:G149,G149),"000"))</f>
        <v>HOG-FRZ-ALG-005</v>
      </c>
      <c r="B149" s="19" t="s">
        <v>250</v>
      </c>
      <c r="C149" s="19" t="s">
        <v>505</v>
      </c>
      <c r="D149" s="19" t="s">
        <v>507</v>
      </c>
      <c r="E149" s="19" t="str">
        <f>_xlfn.XLOOKUP(B149,Configuración!A:A,Configuración!B:B,"")</f>
        <v>HOG</v>
      </c>
      <c r="F149" s="19" t="str" cm="1">
        <f t="array" ref="F149">IF($C149="","",_xlfn.XLOOKUP(1,(Configuración!D:D=$B149)*(Configuración!E:E=$C149),Configuración!F:F,""))</f>
        <v>FRZ</v>
      </c>
      <c r="G149" s="19" t="str">
        <f>IF($D149="","",_xlfn.XLOOKUP($D149,Configuración!H:H,Configuración!I:I,""))</f>
        <v>ALG</v>
      </c>
      <c r="H149" s="19" t="s">
        <v>503</v>
      </c>
      <c r="I149" s="19" t="s">
        <v>503</v>
      </c>
      <c r="J149" s="19" t="s">
        <v>156</v>
      </c>
      <c r="K149" s="19"/>
      <c r="L149" s="20">
        <v>700</v>
      </c>
      <c r="M149" s="20">
        <f t="shared" si="8"/>
        <v>180</v>
      </c>
      <c r="N149" s="20">
        <f t="shared" si="9"/>
        <v>720</v>
      </c>
      <c r="O149" s="20">
        <v>1000</v>
      </c>
      <c r="P149" s="19" t="str">
        <f>IF($O149&lt;Configuración!$B$7,"NO","SI")</f>
        <v>NO</v>
      </c>
      <c r="Q149" s="20" t="str">
        <f>IF($P149="NO","NO APLICA",MAX(CEILING(($O149*(1-Configuración!$B$2))/Configuración!$B$3,Configuración!$B$6),Configuración!$B$5))</f>
        <v>NO APLICA</v>
      </c>
      <c r="R149" s="20" t="str">
        <f>IF($Q149="NO APLICA","NO APLICA",$Q149*Configuración!$B$3)</f>
        <v>NO APLICA</v>
      </c>
      <c r="S149" s="19" t="str">
        <f>IF($O149&lt;Configuración!$B$8,"NO","SI")</f>
        <v>NO</v>
      </c>
      <c r="T149" s="20" t="str">
        <f>IF($S149="NO","NO APLICA",MAX(CEILING(($O149*(1-Configuración!$B$2))/Configuración!$B$4,Configuración!$B$6),Configuración!$B$5))</f>
        <v>NO APLICA</v>
      </c>
      <c r="U149" s="20" t="str">
        <f>IF($T149="NO APLICA","NO APLICA",$T149*Configuración!$B$4)</f>
        <v>NO APLICA</v>
      </c>
      <c r="V149" s="20">
        <f>MAX(CEILING($O149/Configuración!$B$9,Configuración!$B$6),Configuración!$B$5)</f>
        <v>100</v>
      </c>
      <c r="W149" s="19"/>
      <c r="X149" s="33"/>
      <c r="Y149" s="17"/>
    </row>
    <row r="150" spans="1:25" ht="15.6" x14ac:dyDescent="0.3">
      <c r="A150" s="19" t="str">
        <f>IF(OR(E150="",F150="",G150=""),"",E150&amp;"-"&amp;F150&amp;"-"&amp;G150&amp;"-"&amp;TEXT(COUNTIFS($E$2:E150,E150,$F$2:F150,F150,$G$2:G150,G150),"000"))</f>
        <v>COC-SAR-TF-001</v>
      </c>
      <c r="B150" s="19" t="s">
        <v>18</v>
      </c>
      <c r="C150" s="19" t="s">
        <v>334</v>
      </c>
      <c r="D150" s="19" t="s">
        <v>365</v>
      </c>
      <c r="E150" s="19" t="str">
        <f>_xlfn.XLOOKUP(B150,Configuración!A:A,Configuración!B:B,"")</f>
        <v>COC</v>
      </c>
      <c r="F150" s="19" t="str" cm="1">
        <f t="array" ref="F150">IF($C150="","",_xlfn.XLOOKUP(1,(Configuración!D:D=$B150)*(Configuración!E:E=$C150),Configuración!F:F,""))</f>
        <v>SAR</v>
      </c>
      <c r="G150" s="19" t="str">
        <f>IF($D150="","",_xlfn.XLOOKUP($D150,Configuración!H:H,Configuración!I:I,""))</f>
        <v>TF</v>
      </c>
      <c r="H150" s="19" t="s">
        <v>424</v>
      </c>
      <c r="I150" s="19" t="s">
        <v>425</v>
      </c>
      <c r="J150" s="19" t="s">
        <v>34</v>
      </c>
      <c r="K150" s="19" t="s">
        <v>498</v>
      </c>
      <c r="L150" s="20">
        <v>1400</v>
      </c>
      <c r="M150" s="20">
        <f t="shared" si="8"/>
        <v>350</v>
      </c>
      <c r="N150" s="20">
        <f t="shared" si="9"/>
        <v>1400</v>
      </c>
      <c r="O150" s="20">
        <v>1995</v>
      </c>
      <c r="P150" s="19" t="str">
        <f>IF($O150&lt;Configuración!$B$7,"NO","SI")</f>
        <v>NO</v>
      </c>
      <c r="Q150" s="20" t="str">
        <f>IF($P150="NO","NO APLICA",MAX(CEILING(($O150*(1-Configuración!$B$2))/Configuración!$B$3,Configuración!$B$6),Configuración!$B$5))</f>
        <v>NO APLICA</v>
      </c>
      <c r="R150" s="20" t="str">
        <f>IF($Q150="NO APLICA","NO APLICA",$Q150*Configuración!$B$3)</f>
        <v>NO APLICA</v>
      </c>
      <c r="S150" s="19" t="str">
        <f>IF($O150&lt;Configuración!$B$8,"NO","SI")</f>
        <v>NO</v>
      </c>
      <c r="T150" s="20" t="str">
        <f>IF($S150="NO","NO APLICA",MAX(CEILING(($O150*(1-Configuración!$B$2))/Configuración!$B$4,Configuración!$B$6),Configuración!$B$5))</f>
        <v>NO APLICA</v>
      </c>
      <c r="U150" s="20" t="str">
        <f>IF($T150="NO APLICA","NO APLICA",$T150*Configuración!$B$4)</f>
        <v>NO APLICA</v>
      </c>
      <c r="V150" s="20">
        <f>MAX(CEILING($O150/Configuración!$B$9,Configuración!$B$6),Configuración!$B$5)</f>
        <v>100</v>
      </c>
      <c r="W150" s="19" t="s">
        <v>277</v>
      </c>
      <c r="X150" s="33">
        <v>46080</v>
      </c>
      <c r="Y150" s="17"/>
    </row>
    <row r="151" spans="1:25" ht="15.6" x14ac:dyDescent="0.3">
      <c r="A151" s="19" t="str">
        <f>IF(OR(E151="",F151="",G151=""),"",E151&amp;"-"&amp;F151&amp;"-"&amp;G151&amp;"-"&amp;TEXT(COUNTIFS($E$2:E151,E151,$F$2:F151,F151,$G$2:G151,G151),"000"))</f>
        <v>COC-SAR-ALUT-002</v>
      </c>
      <c r="B151" s="19" t="s">
        <v>18</v>
      </c>
      <c r="C151" s="19" t="s">
        <v>334</v>
      </c>
      <c r="D151" s="19" t="s">
        <v>453</v>
      </c>
      <c r="E151" s="19" t="str">
        <f>_xlfn.XLOOKUP(B151,Configuración!A:A,Configuración!B:B,"")</f>
        <v>COC</v>
      </c>
      <c r="F151" s="19" t="str" cm="1">
        <f t="array" ref="F151">IF($C151="","",_xlfn.XLOOKUP(1,(Configuración!D:D=$B151)*(Configuración!E:E=$C151),Configuración!F:F,""))</f>
        <v>SAR</v>
      </c>
      <c r="G151" s="19" t="str">
        <f>IF($D151="","",_xlfn.XLOOKUP($D151,Configuración!H:H,Configuración!I:I,""))</f>
        <v>ALUT</v>
      </c>
      <c r="H151" s="19" t="s">
        <v>428</v>
      </c>
      <c r="I151" s="19" t="s">
        <v>429</v>
      </c>
      <c r="J151" s="19" t="s">
        <v>72</v>
      </c>
      <c r="K151" s="19" t="s">
        <v>498</v>
      </c>
      <c r="L151" s="20">
        <v>1890</v>
      </c>
      <c r="M151" s="20">
        <f t="shared" si="8"/>
        <v>480</v>
      </c>
      <c r="N151" s="20">
        <f t="shared" si="9"/>
        <v>1920</v>
      </c>
      <c r="O151" s="20">
        <v>2700</v>
      </c>
      <c r="P151" s="19" t="str">
        <f>IF($O151&lt;Configuración!$B$7,"NO","SI")</f>
        <v>SI</v>
      </c>
      <c r="Q151" s="20">
        <f>IF($P151="NO","NO APLICA",MAX(CEILING(($O151*(1-Configuración!$B$2))/Configuración!$B$3,Configuración!$B$6),Configuración!$B$5))</f>
        <v>270</v>
      </c>
      <c r="R151" s="20">
        <f>IF($Q151="NO APLICA","NO APLICA",$Q151*Configuración!$B$3)</f>
        <v>2160</v>
      </c>
      <c r="S151" s="19" t="str">
        <f>IF($O151&lt;Configuración!$B$8,"NO","SI")</f>
        <v>NO</v>
      </c>
      <c r="T151" s="20" t="str">
        <f>IF($S151="NO","NO APLICA",MAX(CEILING(($O151*(1-Configuración!$B$2))/Configuración!$B$4,Configuración!$B$6),Configuración!$B$5))</f>
        <v>NO APLICA</v>
      </c>
      <c r="U151" s="20" t="str">
        <f>IF($T151="NO APLICA","NO APLICA",$T151*Configuración!$B$4)</f>
        <v>NO APLICA</v>
      </c>
      <c r="V151" s="20">
        <f>MAX(CEILING($O151/Configuración!$B$9,Configuración!$B$6),Configuración!$B$5)</f>
        <v>100</v>
      </c>
      <c r="W151" s="19" t="s">
        <v>277</v>
      </c>
      <c r="X151" s="33">
        <v>46080</v>
      </c>
      <c r="Y151" s="17"/>
    </row>
    <row r="152" spans="1:25" ht="15.6" x14ac:dyDescent="0.3">
      <c r="A152" s="19" t="str">
        <f>IF(OR(E152="",F152="",G152=""),"",E152&amp;"-"&amp;F152&amp;"-"&amp;G152&amp;"-"&amp;TEXT(COUNTIFS($E$2:E152,E152,$F$2:F152,F152,$G$2:G152,G152),"000"))</f>
        <v>COC-SAR-ALUT-003</v>
      </c>
      <c r="B152" s="19" t="s">
        <v>18</v>
      </c>
      <c r="C152" s="19" t="s">
        <v>334</v>
      </c>
      <c r="D152" s="19" t="s">
        <v>453</v>
      </c>
      <c r="E152" s="19" t="str">
        <f>_xlfn.XLOOKUP(B152,Configuración!A:A,Configuración!B:B,"")</f>
        <v>COC</v>
      </c>
      <c r="F152" s="19" t="str" cm="1">
        <f t="array" ref="F152">IF($C152="","",_xlfn.XLOOKUP(1,(Configuración!D:D=$B152)*(Configuración!E:E=$C152),Configuración!F:F,""))</f>
        <v>SAR</v>
      </c>
      <c r="G152" s="19" t="str">
        <f>IF($D152="","",_xlfn.XLOOKUP($D152,Configuración!H:H,Configuración!I:I,""))</f>
        <v>ALUT</v>
      </c>
      <c r="H152" s="19" t="s">
        <v>516</v>
      </c>
      <c r="I152" s="19" t="s">
        <v>513</v>
      </c>
      <c r="J152" s="19"/>
      <c r="K152" s="19"/>
      <c r="L152" s="20">
        <v>2100</v>
      </c>
      <c r="M152" s="20">
        <f t="shared" si="8"/>
        <v>530</v>
      </c>
      <c r="N152" s="20">
        <f t="shared" si="9"/>
        <v>2120</v>
      </c>
      <c r="O152" s="20">
        <v>3000</v>
      </c>
      <c r="P152" s="19" t="str">
        <f>IF($O152&lt;Configuración!$B$7,"NO","SI")</f>
        <v>SI</v>
      </c>
      <c r="Q152" s="20">
        <f>IF($P152="NO","NO APLICA",MAX(CEILING(($O152*(1-Configuración!$B$2))/Configuración!$B$3,Configuración!$B$6),Configuración!$B$5))</f>
        <v>300</v>
      </c>
      <c r="R152" s="20">
        <f>IF($Q152="NO APLICA","NO APLICA",$Q152*Configuración!$B$3)</f>
        <v>2400</v>
      </c>
      <c r="S152" s="19" t="str">
        <f>IF($O152&lt;Configuración!$B$8,"NO","SI")</f>
        <v>SI</v>
      </c>
      <c r="T152" s="20">
        <f>IF($S152="NO","NO APLICA",MAX(CEILING(($O152*(1-Configuración!$B$2))/Configuración!$B$4,Configuración!$B$6),Configuración!$B$5))</f>
        <v>200</v>
      </c>
      <c r="U152" s="20">
        <f>IF($T152="NO APLICA","NO APLICA",$T152*Configuración!$B$4)</f>
        <v>2400</v>
      </c>
      <c r="V152" s="20">
        <f>MAX(CEILING($O152/Configuración!$B$9,Configuración!$B$6),Configuración!$B$5)</f>
        <v>100</v>
      </c>
      <c r="W152" s="19" t="s">
        <v>277</v>
      </c>
      <c r="X152" s="37" t="s">
        <v>514</v>
      </c>
      <c r="Y152" s="17"/>
    </row>
    <row r="153" spans="1:25" ht="15.6" x14ac:dyDescent="0.3">
      <c r="A153" s="19" t="str">
        <f>IF(OR(E153="",F153="",G153=""),"",E153&amp;"-"&amp;F153&amp;"-"&amp;G153&amp;"-"&amp;TEXT(COUNTIFS($E$2:E153,E153,$F$2:F153,F153,$G$2:G153,G153),"000"))</f>
        <v>COC-SAR-ALUT-004</v>
      </c>
      <c r="B153" s="19" t="s">
        <v>18</v>
      </c>
      <c r="C153" s="19" t="s">
        <v>334</v>
      </c>
      <c r="D153" s="19" t="s">
        <v>453</v>
      </c>
      <c r="E153" s="19" t="str">
        <f>_xlfn.XLOOKUP(B153,Configuración!A:A,Configuración!B:B,"")</f>
        <v>COC</v>
      </c>
      <c r="F153" s="19" t="str" cm="1">
        <f t="array" ref="F153">IF($C153="","",_xlfn.XLOOKUP(1,(Configuración!D:D=$B153)*(Configuración!E:E=$C153),Configuración!F:F,""))</f>
        <v>SAR</v>
      </c>
      <c r="G153" s="19" t="str">
        <f>IF($D153="","",_xlfn.XLOOKUP($D153,Configuración!H:H,Configuración!I:I,""))</f>
        <v>ALUT</v>
      </c>
      <c r="H153" s="19" t="s">
        <v>69</v>
      </c>
      <c r="I153" s="19" t="s">
        <v>455</v>
      </c>
      <c r="J153" s="19" t="s">
        <v>70</v>
      </c>
      <c r="K153" s="19" t="s">
        <v>498</v>
      </c>
      <c r="L153" s="20">
        <v>1610</v>
      </c>
      <c r="M153" s="20">
        <f t="shared" si="8"/>
        <v>410</v>
      </c>
      <c r="N153" s="20">
        <f t="shared" si="9"/>
        <v>1640</v>
      </c>
      <c r="O153" s="20">
        <v>2300</v>
      </c>
      <c r="P153" s="19" t="str">
        <f>IF($O153&lt;Configuración!$B$7,"NO","SI")</f>
        <v>SI</v>
      </c>
      <c r="Q153" s="20">
        <f>IF($P153="NO","NO APLICA",MAX(CEILING(($O153*(1-Configuración!$B$2))/Configuración!$B$3,Configuración!$B$6),Configuración!$B$5))</f>
        <v>230</v>
      </c>
      <c r="R153" s="20">
        <f>IF($Q153="NO APLICA","NO APLICA",$Q153*Configuración!$B$3)</f>
        <v>1840</v>
      </c>
      <c r="S153" s="19" t="str">
        <f>IF($O153&lt;Configuración!$B$8,"NO","SI")</f>
        <v>NO</v>
      </c>
      <c r="T153" s="20" t="str">
        <f>IF($S153="NO","NO APLICA",MAX(CEILING(($O153*(1-Configuración!$B$2))/Configuración!$B$4,Configuración!$B$6),Configuración!$B$5))</f>
        <v>NO APLICA</v>
      </c>
      <c r="U153" s="20" t="str">
        <f>IF($T153="NO APLICA","NO APLICA",$T153*Configuración!$B$4)</f>
        <v>NO APLICA</v>
      </c>
      <c r="V153" s="20">
        <f>MAX(CEILING($O153/Configuración!$B$9,Configuración!$B$6),Configuración!$B$5)</f>
        <v>100</v>
      </c>
      <c r="W153" s="19" t="s">
        <v>277</v>
      </c>
      <c r="X153" s="33">
        <v>46079</v>
      </c>
      <c r="Y153" s="17"/>
    </row>
    <row r="154" spans="1:25" ht="15.6" x14ac:dyDescent="0.3">
      <c r="A154" s="40" t="str">
        <f>IF(OR(E154="",F154="",G154=""),"",E154&amp;"-"&amp;F154&amp;"-"&amp;G154&amp;"-"&amp;TEXT(COUNTIFS($E$2:E154,E154,$F$2:F154,F154,$G$2:G154,G154),"000"))</f>
        <v>COC-SAR-TF-002</v>
      </c>
      <c r="B154" s="19" t="s">
        <v>18</v>
      </c>
      <c r="C154" s="19" t="s">
        <v>334</v>
      </c>
      <c r="D154" s="19" t="s">
        <v>365</v>
      </c>
      <c r="E154" s="19" t="str">
        <f>_xlfn.XLOOKUP(B154,Configuración!A:A,Configuración!B:B,"")</f>
        <v>COC</v>
      </c>
      <c r="F154" s="19" t="str" cm="1">
        <f t="array" ref="F154">IF($C154="","",_xlfn.XLOOKUP(1,(Configuración!D:D=$B154)*(Configuración!E:E=$C154),Configuración!F:F,""))</f>
        <v>SAR</v>
      </c>
      <c r="G154" s="19" t="str">
        <f>IF($D154="","",_xlfn.XLOOKUP($D154,Configuración!H:H,Configuración!I:I,""))</f>
        <v>TF</v>
      </c>
      <c r="H154" s="19" t="s">
        <v>54</v>
      </c>
      <c r="I154" s="19" t="s">
        <v>444</v>
      </c>
      <c r="J154" s="19" t="s">
        <v>34</v>
      </c>
      <c r="K154" s="19" t="s">
        <v>498</v>
      </c>
      <c r="L154" s="20">
        <v>1610</v>
      </c>
      <c r="M154" s="20">
        <f t="shared" si="8"/>
        <v>410</v>
      </c>
      <c r="N154" s="20">
        <f t="shared" si="9"/>
        <v>1640</v>
      </c>
      <c r="O154" s="20">
        <v>2300</v>
      </c>
      <c r="P154" s="19" t="str">
        <f>IF($O154&lt;Configuración!$B$7,"NO","SI")</f>
        <v>SI</v>
      </c>
      <c r="Q154" s="20">
        <f>IF($P154="NO","NO APLICA",MAX(CEILING(($O154*(1-Configuración!$B$2))/Configuración!$B$3,Configuración!$B$6),Configuración!$B$5))</f>
        <v>230</v>
      </c>
      <c r="R154" s="20">
        <f>IF($Q154="NO APLICA","NO APLICA",$Q154*Configuración!$B$3)</f>
        <v>1840</v>
      </c>
      <c r="S154" s="19" t="str">
        <f>IF($O154&lt;Configuración!$B$8,"NO","SI")</f>
        <v>NO</v>
      </c>
      <c r="T154" s="20" t="str">
        <f>IF($S154="NO","NO APLICA",MAX(CEILING(($O154*(1-Configuración!$B$2))/Configuración!$B$4,Configuración!$B$6),Configuración!$B$5))</f>
        <v>NO APLICA</v>
      </c>
      <c r="U154" s="20" t="str">
        <f>IF($T154="NO APLICA","NO APLICA",$T154*Configuración!$B$4)</f>
        <v>NO APLICA</v>
      </c>
      <c r="V154" s="20">
        <f>MAX(CEILING($O154/Configuración!$B$9,Configuración!$B$6),Configuración!$B$5)</f>
        <v>100</v>
      </c>
      <c r="W154" s="19" t="s">
        <v>277</v>
      </c>
      <c r="X154" s="33">
        <v>46079</v>
      </c>
      <c r="Y154" s="17"/>
    </row>
    <row r="155" spans="1:25" ht="15.6" x14ac:dyDescent="0.3">
      <c r="A155" s="19" t="str">
        <f>IF(OR(E155="",F155="",G155=""),"",E155&amp;"-"&amp;F155&amp;"-"&amp;G155&amp;"-"&amp;TEXT(COUNTIFS($E$2:E155,E155,$F$2:F155,F155,$G$2:G155,G155),"000"))</f>
        <v>MOB-SIL-PSL-005</v>
      </c>
      <c r="B155" s="19" t="s">
        <v>19</v>
      </c>
      <c r="C155" s="19" t="s">
        <v>318</v>
      </c>
      <c r="D155" s="19" t="s">
        <v>328</v>
      </c>
      <c r="E155" s="19" t="str">
        <f>_xlfn.XLOOKUP(B155,Configuración!A:A,Configuración!B:B,"")</f>
        <v>MOB</v>
      </c>
      <c r="F155" s="19" t="str" cm="1">
        <f t="array" ref="F155">IF($C155="","",_xlfn.XLOOKUP(1,(Configuración!D:D=$B155)*(Configuración!E:E=$C155),Configuración!F:F,""))</f>
        <v>SIL</v>
      </c>
      <c r="G155" s="19" t="str">
        <f>IF($D155="","",_xlfn.XLOOKUP($D155,Configuración!H:H,Configuración!I:I,""))</f>
        <v>PSL</v>
      </c>
      <c r="H155" s="19" t="s">
        <v>119</v>
      </c>
      <c r="I155" s="19" t="s">
        <v>119</v>
      </c>
      <c r="J155" s="19" t="s">
        <v>120</v>
      </c>
      <c r="K155" s="19" t="s">
        <v>276</v>
      </c>
      <c r="L155" s="20">
        <v>420</v>
      </c>
      <c r="M155" s="20">
        <f t="shared" si="8"/>
        <v>110</v>
      </c>
      <c r="N155" s="20">
        <f t="shared" si="9"/>
        <v>440</v>
      </c>
      <c r="O155" s="20">
        <v>595</v>
      </c>
      <c r="P155" s="19" t="str">
        <f>IF($O155&lt;Configuración!$B$7,"NO","SI")</f>
        <v>NO</v>
      </c>
      <c r="Q155" s="20" t="str">
        <f>IF($P155="NO","NO APLICA",MAX(CEILING(($O155*(1-Configuración!$B$2))/Configuración!$B$3,Configuración!$B$6),Configuración!$B$5))</f>
        <v>NO APLICA</v>
      </c>
      <c r="R155" s="20" t="str">
        <f>IF($Q155="NO APLICA","NO APLICA",$Q155*Configuración!$B$3)</f>
        <v>NO APLICA</v>
      </c>
      <c r="S155" s="19" t="str">
        <f>IF($O155&lt;Configuración!$B$8,"NO","SI")</f>
        <v>NO</v>
      </c>
      <c r="T155" s="20" t="str">
        <f>IF($S155="NO","NO APLICA",MAX(CEILING(($O155*(1-Configuración!$B$2))/Configuración!$B$4,Configuración!$B$6),Configuración!$B$5))</f>
        <v>NO APLICA</v>
      </c>
      <c r="U155" s="20" t="str">
        <f>IF($T155="NO APLICA","NO APLICA",$T155*Configuración!$B$4)</f>
        <v>NO APLICA</v>
      </c>
      <c r="V155" s="20">
        <f>MAX(CEILING($O155/Configuración!$B$9,Configuración!$B$6),Configuración!$B$5)</f>
        <v>100</v>
      </c>
      <c r="W155" s="19" t="s">
        <v>277</v>
      </c>
      <c r="X155" s="33">
        <v>46079</v>
      </c>
      <c r="Y155" s="17"/>
    </row>
    <row r="156" spans="1:25" ht="15.6" x14ac:dyDescent="0.3">
      <c r="A156" s="19" t="str">
        <f>IF(OR(E156="",F156="",G156=""),"",E156&amp;"-"&amp;F156&amp;"-"&amp;G156&amp;"-"&amp;TEXT(COUNTIFS($E$2:E156,E156,$F$2:F156,F156,$G$2:G156,G156),"000"))</f>
        <v>MOB-SIL-PSL-006</v>
      </c>
      <c r="B156" s="19" t="s">
        <v>19</v>
      </c>
      <c r="C156" s="19" t="s">
        <v>318</v>
      </c>
      <c r="D156" s="19" t="s">
        <v>328</v>
      </c>
      <c r="E156" s="19" t="str">
        <f>_xlfn.XLOOKUP(B156,Configuración!A:A,Configuración!B:B,"")</f>
        <v>MOB</v>
      </c>
      <c r="F156" s="19" t="str" cm="1">
        <f t="array" ref="F156">IF($C156="","",_xlfn.XLOOKUP(1,(Configuración!D:D=$B156)*(Configuración!E:E=$C156),Configuración!F:F,""))</f>
        <v>SIL</v>
      </c>
      <c r="G156" s="19" t="str">
        <f>IF($D156="","",_xlfn.XLOOKUP($D156,Configuración!H:H,Configuración!I:I,""))</f>
        <v>PSL</v>
      </c>
      <c r="H156" s="19" t="s">
        <v>118</v>
      </c>
      <c r="I156" s="19" t="s">
        <v>118</v>
      </c>
      <c r="J156" s="19" t="s">
        <v>114</v>
      </c>
      <c r="K156" s="19" t="s">
        <v>276</v>
      </c>
      <c r="L156" s="20">
        <v>350</v>
      </c>
      <c r="M156" s="20">
        <f t="shared" si="8"/>
        <v>100</v>
      </c>
      <c r="N156" s="20">
        <f t="shared" si="9"/>
        <v>400</v>
      </c>
      <c r="O156" s="20">
        <v>495</v>
      </c>
      <c r="P156" s="19" t="str">
        <f>IF($O156&lt;Configuración!$B$7,"NO","SI")</f>
        <v>NO</v>
      </c>
      <c r="Q156" s="20" t="str">
        <f>IF($P156="NO","NO APLICA",MAX(CEILING(($O156*(1-Configuración!$B$2))/Configuración!$B$3,Configuración!$B$6),Configuración!$B$5))</f>
        <v>NO APLICA</v>
      </c>
      <c r="R156" s="20" t="str">
        <f>IF($Q156="NO APLICA","NO APLICA",$Q156*Configuración!$B$3)</f>
        <v>NO APLICA</v>
      </c>
      <c r="S156" s="19" t="str">
        <f>IF($O156&lt;Configuración!$B$8,"NO","SI")</f>
        <v>NO</v>
      </c>
      <c r="T156" s="20" t="str">
        <f>IF($S156="NO","NO APLICA",MAX(CEILING(($O156*(1-Configuración!$B$2))/Configuración!$B$4,Configuración!$B$6),Configuración!$B$5))</f>
        <v>NO APLICA</v>
      </c>
      <c r="U156" s="20" t="str">
        <f>IF($T156="NO APLICA","NO APLICA",$T156*Configuración!$B$4)</f>
        <v>NO APLICA</v>
      </c>
      <c r="V156" s="20">
        <f>MAX(CEILING($O156/Configuración!$B$9,Configuración!$B$6),Configuración!$B$5)</f>
        <v>100</v>
      </c>
      <c r="W156" s="19" t="s">
        <v>277</v>
      </c>
      <c r="X156" s="33">
        <v>46079</v>
      </c>
      <c r="Y156" s="17"/>
    </row>
    <row r="157" spans="1:25" ht="15.6" x14ac:dyDescent="0.3">
      <c r="A157" s="19" t="str">
        <f>IF(OR(E157="",F157="",G157=""),"",E157&amp;"-"&amp;F157&amp;"-"&amp;G157&amp;"-"&amp;TEXT(COUNTIFS($E$2:E157,E157,$F$2:F157,F157,$G$2:G157,G157),"000"))</f>
        <v>MOB-SIL-PSL-007</v>
      </c>
      <c r="B157" s="19" t="s">
        <v>19</v>
      </c>
      <c r="C157" s="19" t="s">
        <v>318</v>
      </c>
      <c r="D157" s="19" t="s">
        <v>328</v>
      </c>
      <c r="E157" s="19" t="str">
        <f>_xlfn.XLOOKUP(B157,Configuración!A:A,Configuración!B:B,"")</f>
        <v>MOB</v>
      </c>
      <c r="F157" s="19" t="str" cm="1">
        <f t="array" ref="F157">IF($C157="","",_xlfn.XLOOKUP(1,(Configuración!D:D=$B157)*(Configuración!E:E=$C157),Configuración!F:F,""))</f>
        <v>SIL</v>
      </c>
      <c r="G157" s="19" t="str">
        <f>IF($D157="","",_xlfn.XLOOKUP($D157,Configuración!H:H,Configuración!I:I,""))</f>
        <v>PSL</v>
      </c>
      <c r="H157" s="19" t="s">
        <v>121</v>
      </c>
      <c r="I157" s="19" t="s">
        <v>121</v>
      </c>
      <c r="J157" s="19" t="s">
        <v>114</v>
      </c>
      <c r="K157" s="19" t="s">
        <v>276</v>
      </c>
      <c r="L157" s="20">
        <v>525</v>
      </c>
      <c r="M157" s="20">
        <f t="shared" si="8"/>
        <v>140</v>
      </c>
      <c r="N157" s="20">
        <f t="shared" si="9"/>
        <v>560</v>
      </c>
      <c r="O157" s="20">
        <v>750</v>
      </c>
      <c r="P157" s="19" t="str">
        <f>IF($O157&lt;Configuración!$B$7,"NO","SI")</f>
        <v>NO</v>
      </c>
      <c r="Q157" s="20" t="str">
        <f>IF($P157="NO","NO APLICA",MAX(CEILING(($O157*(1-Configuración!$B$2))/Configuración!$B$3,Configuración!$B$6),Configuración!$B$5))</f>
        <v>NO APLICA</v>
      </c>
      <c r="R157" s="20" t="str">
        <f>IF($Q157="NO APLICA","NO APLICA",$Q157*Configuración!$B$3)</f>
        <v>NO APLICA</v>
      </c>
      <c r="S157" s="19" t="str">
        <f>IF($O157&lt;Configuración!$B$8,"NO","SI")</f>
        <v>NO</v>
      </c>
      <c r="T157" s="20" t="str">
        <f>IF($S157="NO","NO APLICA",MAX(CEILING(($O157*(1-Configuración!$B$2))/Configuración!$B$4,Configuración!$B$6),Configuración!$B$5))</f>
        <v>NO APLICA</v>
      </c>
      <c r="U157" s="20" t="str">
        <f>IF($T157="NO APLICA","NO APLICA",$T157*Configuración!$B$4)</f>
        <v>NO APLICA</v>
      </c>
      <c r="V157" s="20">
        <f>MAX(CEILING($O157/Configuración!$B$9,Configuración!$B$6),Configuración!$B$5)</f>
        <v>100</v>
      </c>
      <c r="W157" s="19" t="s">
        <v>277</v>
      </c>
      <c r="X157" s="33">
        <v>46079</v>
      </c>
      <c r="Y157" s="17"/>
    </row>
    <row r="158" spans="1:25" ht="15.6" x14ac:dyDescent="0.3">
      <c r="A158" s="19" t="str">
        <f>IF(OR(E158="",F158="",G158=""),"",E158&amp;"-"&amp;F158&amp;"-"&amp;G158&amp;"-"&amp;TEXT(COUNTIFS($E$2:E158,E158,$F$2:F158,F158,$G$2:G158,G158),"000"))</f>
        <v>MOB-SIL-TUB-001</v>
      </c>
      <c r="B158" s="19" t="s">
        <v>19</v>
      </c>
      <c r="C158" s="19" t="s">
        <v>318</v>
      </c>
      <c r="D158" s="19" t="s">
        <v>329</v>
      </c>
      <c r="E158" s="19" t="str">
        <f>_xlfn.XLOOKUP(B158,Configuración!A:A,Configuración!B:B,"")</f>
        <v>MOB</v>
      </c>
      <c r="F158" s="19" t="str" cm="1">
        <f t="array" ref="F158">IF($C158="","",_xlfn.XLOOKUP(1,(Configuración!D:D=$B158)*(Configuración!E:E=$C158),Configuración!F:F,""))</f>
        <v>SIL</v>
      </c>
      <c r="G158" s="19" t="str">
        <f>IF($D158="","",_xlfn.XLOOKUP($D158,Configuración!H:H,Configuración!I:I,""))</f>
        <v>TUB</v>
      </c>
      <c r="H158" s="19" t="s">
        <v>188</v>
      </c>
      <c r="I158" s="19" t="s">
        <v>188</v>
      </c>
      <c r="J158" s="19" t="s">
        <v>156</v>
      </c>
      <c r="K158" s="19" t="s">
        <v>276</v>
      </c>
      <c r="L158" s="20">
        <v>840</v>
      </c>
      <c r="M158" s="20">
        <f t="shared" si="8"/>
        <v>210</v>
      </c>
      <c r="N158" s="20">
        <f t="shared" si="9"/>
        <v>840</v>
      </c>
      <c r="O158" s="20">
        <v>1200</v>
      </c>
      <c r="P158" s="19" t="str">
        <f>IF($O158&lt;Configuración!$B$7,"NO","SI")</f>
        <v>NO</v>
      </c>
      <c r="Q158" s="20" t="str">
        <f>IF($P158="NO","NO APLICA",MAX(CEILING(($O158*(1-Configuración!$B$2))/Configuración!$B$3,Configuración!$B$6),Configuración!$B$5))</f>
        <v>NO APLICA</v>
      </c>
      <c r="R158" s="20" t="str">
        <f>IF($Q158="NO APLICA","NO APLICA",$Q158*Configuración!$B$3)</f>
        <v>NO APLICA</v>
      </c>
      <c r="S158" s="19" t="str">
        <f>IF($O158&lt;Configuración!$B$8,"NO","SI")</f>
        <v>NO</v>
      </c>
      <c r="T158" s="20" t="str">
        <f>IF($S158="NO","NO APLICA",MAX(CEILING(($O158*(1-Configuración!$B$2))/Configuración!$B$4,Configuración!$B$6),Configuración!$B$5))</f>
        <v>NO APLICA</v>
      </c>
      <c r="U158" s="20" t="str">
        <f>IF($T158="NO APLICA","NO APLICA",$T158*Configuración!$B$4)</f>
        <v>NO APLICA</v>
      </c>
      <c r="V158" s="20">
        <f>MAX(CEILING($O158/Configuración!$B$9,Configuración!$B$6),Configuración!$B$5)</f>
        <v>100</v>
      </c>
      <c r="W158" s="19" t="s">
        <v>277</v>
      </c>
      <c r="X158" s="33">
        <v>46079</v>
      </c>
      <c r="Y158" s="17"/>
    </row>
    <row r="159" spans="1:25" ht="15.6" x14ac:dyDescent="0.3">
      <c r="A159" s="19" t="str">
        <f>IF(OR(E159="",F159="",G159=""),"",E159&amp;"-"&amp;F159&amp;"-"&amp;G159&amp;"-"&amp;TEXT(COUNTIFS($E$2:E159,E159,$F$2:F159,F159,$G$2:G159,G159),"000"))</f>
        <v>MOB-SOF-MET-001</v>
      </c>
      <c r="B159" s="19" t="s">
        <v>19</v>
      </c>
      <c r="C159" s="19" t="s">
        <v>392</v>
      </c>
      <c r="D159" s="19" t="s">
        <v>327</v>
      </c>
      <c r="E159" s="19" t="str">
        <f>_xlfn.XLOOKUP(B159,Configuración!A:A,Configuración!B:B,"")</f>
        <v>MOB</v>
      </c>
      <c r="F159" s="19" t="str" cm="1">
        <f t="array" ref="F159">IF($C159="","",_xlfn.XLOOKUP(1,(Configuración!D:D=$B159)*(Configuración!E:E=$C159),Configuración!F:F,""))</f>
        <v>SOF</v>
      </c>
      <c r="G159" s="19" t="str">
        <f>IF($D159="","",_xlfn.XLOOKUP($D159,Configuración!H:H,Configuración!I:I,""))</f>
        <v>MET</v>
      </c>
      <c r="H159" s="19" t="s">
        <v>169</v>
      </c>
      <c r="I159" s="19" t="s">
        <v>169</v>
      </c>
      <c r="J159" s="19" t="s">
        <v>156</v>
      </c>
      <c r="K159" s="19" t="s">
        <v>276</v>
      </c>
      <c r="L159" s="20">
        <v>2100</v>
      </c>
      <c r="M159" s="20">
        <f t="shared" si="8"/>
        <v>530</v>
      </c>
      <c r="N159" s="20">
        <f t="shared" si="9"/>
        <v>2120</v>
      </c>
      <c r="O159" s="20">
        <v>3000</v>
      </c>
      <c r="P159" s="19" t="str">
        <f>IF($O159&lt;Configuración!$B$7,"NO","SI")</f>
        <v>SI</v>
      </c>
      <c r="Q159" s="20">
        <f>IF($P159="NO","NO APLICA",MAX(CEILING(($O159*(1-Configuración!$B$2))/Configuración!$B$3,Configuración!$B$6),Configuración!$B$5))</f>
        <v>300</v>
      </c>
      <c r="R159" s="20">
        <f>IF($Q159="NO APLICA","NO APLICA",$Q159*Configuración!$B$3)</f>
        <v>2400</v>
      </c>
      <c r="S159" s="19" t="str">
        <f>IF($O159&lt;Configuración!$B$8,"NO","SI")</f>
        <v>SI</v>
      </c>
      <c r="T159" s="20">
        <f>IF($S159="NO","NO APLICA",MAX(CEILING(($O159*(1-Configuración!$B$2))/Configuración!$B$4,Configuración!$B$6),Configuración!$B$5))</f>
        <v>200</v>
      </c>
      <c r="U159" s="20">
        <f>IF($T159="NO APLICA","NO APLICA",$T159*Configuración!$B$4)</f>
        <v>2400</v>
      </c>
      <c r="V159" s="20">
        <f>MAX(CEILING($O159/Configuración!$B$9,Configuración!$B$6),Configuración!$B$5)</f>
        <v>100</v>
      </c>
      <c r="W159" s="19" t="s">
        <v>277</v>
      </c>
      <c r="X159" s="33">
        <v>46079</v>
      </c>
      <c r="Y159" s="17"/>
    </row>
    <row r="160" spans="1:25" ht="15.6" x14ac:dyDescent="0.3">
      <c r="A160" s="19" t="str">
        <f>IF(OR(E160="",F160="",G160=""),"",E160&amp;"-"&amp;F160&amp;"-"&amp;G160&amp;"-"&amp;TEXT(COUNTIFS($E$2:E160,E160,$F$2:F160,F160,$G$2:G160,G160),"000"))</f>
        <v>MOB-SOF-MET-002</v>
      </c>
      <c r="B160" s="19" t="s">
        <v>19</v>
      </c>
      <c r="C160" s="19" t="s">
        <v>392</v>
      </c>
      <c r="D160" s="19" t="s">
        <v>327</v>
      </c>
      <c r="E160" s="19" t="str">
        <f>_xlfn.XLOOKUP(B160,Configuración!A:A,Configuración!B:B,"")</f>
        <v>MOB</v>
      </c>
      <c r="F160" s="19" t="str" cm="1">
        <f t="array" ref="F160">IF($C160="","",_xlfn.XLOOKUP(1,(Configuración!D:D=$B160)*(Configuración!E:E=$C160),Configuración!F:F,""))</f>
        <v>SOF</v>
      </c>
      <c r="G160" s="19" t="str">
        <f>IF($D160="","",_xlfn.XLOOKUP($D160,Configuración!H:H,Configuración!I:I,""))</f>
        <v>MET</v>
      </c>
      <c r="H160" s="19" t="s">
        <v>170</v>
      </c>
      <c r="I160" s="19" t="s">
        <v>170</v>
      </c>
      <c r="J160" s="19" t="s">
        <v>156</v>
      </c>
      <c r="K160" s="19" t="s">
        <v>276</v>
      </c>
      <c r="L160" s="20">
        <v>2100</v>
      </c>
      <c r="M160" s="20">
        <f t="shared" si="8"/>
        <v>530</v>
      </c>
      <c r="N160" s="20">
        <f t="shared" si="9"/>
        <v>2120</v>
      </c>
      <c r="O160" s="20">
        <v>3000</v>
      </c>
      <c r="P160" s="19" t="str">
        <f>IF($O160&lt;Configuración!$B$7,"NO","SI")</f>
        <v>SI</v>
      </c>
      <c r="Q160" s="20">
        <f>IF($P160="NO","NO APLICA",MAX(CEILING(($O160*(1-Configuración!$B$2))/Configuración!$B$3,Configuración!$B$6),Configuración!$B$5))</f>
        <v>300</v>
      </c>
      <c r="R160" s="20">
        <f>IF($Q160="NO APLICA","NO APLICA",$Q160*Configuración!$B$3)</f>
        <v>2400</v>
      </c>
      <c r="S160" s="19" t="str">
        <f>IF($O160&lt;Configuración!$B$8,"NO","SI")</f>
        <v>SI</v>
      </c>
      <c r="T160" s="20">
        <f>IF($S160="NO","NO APLICA",MAX(CEILING(($O160*(1-Configuración!$B$2))/Configuración!$B$4,Configuración!$B$6),Configuración!$B$5))</f>
        <v>200</v>
      </c>
      <c r="U160" s="20">
        <f>IF($T160="NO APLICA","NO APLICA",$T160*Configuración!$B$4)</f>
        <v>2400</v>
      </c>
      <c r="V160" s="20">
        <f>MAX(CEILING($O160/Configuración!$B$9,Configuración!$B$6),Configuración!$B$5)</f>
        <v>100</v>
      </c>
      <c r="W160" s="19" t="s">
        <v>277</v>
      </c>
      <c r="X160" s="33">
        <v>46079</v>
      </c>
      <c r="Y160" s="17"/>
    </row>
    <row r="161" spans="1:25" ht="15.6" x14ac:dyDescent="0.3">
      <c r="A161" s="19" t="str">
        <f>IF(OR(E161="",F161="",G161=""),"",E161&amp;"-"&amp;F161&amp;"-"&amp;G161&amp;"-"&amp;TEXT(COUNTIFS($E$2:E161,E161,$F$2:F161,F161,$G$2:G161,G161),"000"))</f>
        <v>PLA-TAM-PSL-001</v>
      </c>
      <c r="B161" s="19" t="s">
        <v>135</v>
      </c>
      <c r="C161" s="19" t="s">
        <v>418</v>
      </c>
      <c r="D161" s="19" t="s">
        <v>328</v>
      </c>
      <c r="E161" s="19" t="str">
        <f>_xlfn.XLOOKUP(B161,Configuración!A:A,Configuración!B:B,"")</f>
        <v>PLA</v>
      </c>
      <c r="F161" s="19" t="str" cm="1">
        <f t="array" ref="F161">IF($C161="","",_xlfn.XLOOKUP(1,(Configuración!D:D=$B161)*(Configuración!E:E=$C161),Configuración!F:F,""))</f>
        <v>TAM</v>
      </c>
      <c r="G161" s="19" t="str">
        <f>IF($D161="","",_xlfn.XLOOKUP($D161,Configuración!H:H,Configuración!I:I,""))</f>
        <v>PSL</v>
      </c>
      <c r="H161" s="19" t="s">
        <v>143</v>
      </c>
      <c r="I161" s="19" t="s">
        <v>143</v>
      </c>
      <c r="J161" s="19" t="s">
        <v>139</v>
      </c>
      <c r="K161" s="19" t="s">
        <v>276</v>
      </c>
      <c r="L161" s="20">
        <v>7350</v>
      </c>
      <c r="M161" s="20">
        <f t="shared" si="8"/>
        <v>1840</v>
      </c>
      <c r="N161" s="20">
        <f t="shared" si="9"/>
        <v>7360</v>
      </c>
      <c r="O161" s="20">
        <v>10500</v>
      </c>
      <c r="P161" s="19" t="str">
        <f>IF($O161&lt;Configuración!$B$7,"NO","SI")</f>
        <v>SI</v>
      </c>
      <c r="Q161" s="20">
        <f>IF($P161="NO","NO APLICA",MAX(CEILING(($O161*(1-Configuración!$B$2))/Configuración!$B$3,Configuración!$B$6),Configuración!$B$5))</f>
        <v>1050</v>
      </c>
      <c r="R161" s="20">
        <f>IF($Q161="NO APLICA","NO APLICA",$Q161*Configuración!$B$3)</f>
        <v>8400</v>
      </c>
      <c r="S161" s="19" t="str">
        <f>IF($O161&lt;Configuración!$B$8,"NO","SI")</f>
        <v>SI</v>
      </c>
      <c r="T161" s="20">
        <f>IF($S161="NO","NO APLICA",MAX(CEILING(($O161*(1-Configuración!$B$2))/Configuración!$B$4,Configuración!$B$6),Configuración!$B$5))</f>
        <v>700</v>
      </c>
      <c r="U161" s="20">
        <f>IF($T161="NO APLICA","NO APLICA",$T161*Configuración!$B$4)</f>
        <v>8400</v>
      </c>
      <c r="V161" s="20">
        <f>MAX(CEILING($O161/Configuración!$B$9,Configuración!$B$6),Configuración!$B$5)</f>
        <v>210</v>
      </c>
      <c r="W161" s="19" t="s">
        <v>277</v>
      </c>
      <c r="X161" s="33">
        <v>46079</v>
      </c>
      <c r="Y161" s="17"/>
    </row>
    <row r="162" spans="1:25" ht="15.6" x14ac:dyDescent="0.3">
      <c r="A162" s="19" t="str">
        <f>IF(OR(E162="",F162="",G162=""),"",E162&amp;"-"&amp;F162&amp;"-"&amp;G162&amp;"-"&amp;TEXT(COUNTIFS($E$2:E162,E162,$F$2:F162,F162,$G$2:G162,G162),"000"))</f>
        <v>PLA-TAM-PSL-002</v>
      </c>
      <c r="B162" s="19" t="s">
        <v>135</v>
      </c>
      <c r="C162" s="19" t="s">
        <v>418</v>
      </c>
      <c r="D162" s="19" t="s">
        <v>328</v>
      </c>
      <c r="E162" s="19" t="str">
        <f>_xlfn.XLOOKUP(B162,Configuración!A:A,Configuración!B:B,"")</f>
        <v>PLA</v>
      </c>
      <c r="F162" s="19" t="str" cm="1">
        <f t="array" ref="F162">IF($C162="","",_xlfn.XLOOKUP(1,(Configuración!D:D=$B162)*(Configuración!E:E=$C162),Configuración!F:F,""))</f>
        <v>TAM</v>
      </c>
      <c r="G162" s="19" t="str">
        <f>IF($D162="","",_xlfn.XLOOKUP($D162,Configuración!H:H,Configuración!I:I,""))</f>
        <v>PSL</v>
      </c>
      <c r="H162" s="19" t="s">
        <v>136</v>
      </c>
      <c r="I162" s="19" t="s">
        <v>136</v>
      </c>
      <c r="J162" s="19" t="s">
        <v>137</v>
      </c>
      <c r="K162" s="19" t="s">
        <v>276</v>
      </c>
      <c r="L162" s="20">
        <v>1120</v>
      </c>
      <c r="M162" s="20">
        <f t="shared" ref="M162:M193" si="10">MAX(CEILING(L162/4,10),100)</f>
        <v>280</v>
      </c>
      <c r="N162" s="20">
        <f t="shared" ref="N162:N193" si="11">M162*4</f>
        <v>1120</v>
      </c>
      <c r="O162" s="20">
        <v>1600</v>
      </c>
      <c r="P162" s="19" t="str">
        <f>IF($O162&lt;Configuración!$B$7,"NO","SI")</f>
        <v>NO</v>
      </c>
      <c r="Q162" s="20" t="str">
        <f>IF($P162="NO","NO APLICA",MAX(CEILING(($O162*(1-Configuración!$B$2))/Configuración!$B$3,Configuración!$B$6),Configuración!$B$5))</f>
        <v>NO APLICA</v>
      </c>
      <c r="R162" s="20" t="str">
        <f>IF($Q162="NO APLICA","NO APLICA",$Q162*Configuración!$B$3)</f>
        <v>NO APLICA</v>
      </c>
      <c r="S162" s="19" t="str">
        <f>IF($O162&lt;Configuración!$B$8,"NO","SI")</f>
        <v>NO</v>
      </c>
      <c r="T162" s="20" t="str">
        <f>IF($S162="NO","NO APLICA",MAX(CEILING(($O162*(1-Configuración!$B$2))/Configuración!$B$4,Configuración!$B$6),Configuración!$B$5))</f>
        <v>NO APLICA</v>
      </c>
      <c r="U162" s="20" t="str">
        <f>IF($T162="NO APLICA","NO APLICA",$T162*Configuración!$B$4)</f>
        <v>NO APLICA</v>
      </c>
      <c r="V162" s="20">
        <f>MAX(CEILING($O162/Configuración!$B$9,Configuración!$B$6),Configuración!$B$5)</f>
        <v>100</v>
      </c>
      <c r="W162" s="19" t="s">
        <v>277</v>
      </c>
      <c r="X162" s="33">
        <v>46079</v>
      </c>
      <c r="Y162" s="17"/>
    </row>
    <row r="163" spans="1:25" ht="15.6" x14ac:dyDescent="0.3">
      <c r="A163" s="19" t="str">
        <f>IF(OR(E163="",F163="",G163=""),"",E163&amp;"-"&amp;F163&amp;"-"&amp;G163&amp;"-"&amp;TEXT(COUNTIFS($E$2:E163,E163,$F$2:F163,F163,$G$2:G163,G163),"000"))</f>
        <v>PLA-TAM-PSL-003</v>
      </c>
      <c r="B163" s="19" t="s">
        <v>135</v>
      </c>
      <c r="C163" s="19" t="s">
        <v>418</v>
      </c>
      <c r="D163" s="19" t="s">
        <v>328</v>
      </c>
      <c r="E163" s="19" t="str">
        <f>_xlfn.XLOOKUP(B163,Configuración!A:A,Configuración!B:B,"")</f>
        <v>PLA</v>
      </c>
      <c r="F163" s="19" t="str" cm="1">
        <f t="array" ref="F163">IF($C163="","",_xlfn.XLOOKUP(1,(Configuración!D:D=$B163)*(Configuración!E:E=$C163),Configuración!F:F,""))</f>
        <v>TAM</v>
      </c>
      <c r="G163" s="19" t="str">
        <f>IF($D163="","",_xlfn.XLOOKUP($D163,Configuración!H:H,Configuración!I:I,""))</f>
        <v>PSL</v>
      </c>
      <c r="H163" s="19" t="s">
        <v>138</v>
      </c>
      <c r="I163" s="19" t="s">
        <v>138</v>
      </c>
      <c r="J163" s="19" t="s">
        <v>139</v>
      </c>
      <c r="K163" s="19" t="s">
        <v>276</v>
      </c>
      <c r="L163" s="20">
        <v>1680</v>
      </c>
      <c r="M163" s="20">
        <f t="shared" si="10"/>
        <v>420</v>
      </c>
      <c r="N163" s="20">
        <f t="shared" si="11"/>
        <v>1680</v>
      </c>
      <c r="O163" s="20">
        <v>2400</v>
      </c>
      <c r="P163" s="19" t="str">
        <f>IF($O163&lt;Configuración!$B$7,"NO","SI")</f>
        <v>SI</v>
      </c>
      <c r="Q163" s="20">
        <f>IF($P163="NO","NO APLICA",MAX(CEILING(($O163*(1-Configuración!$B$2))/Configuración!$B$3,Configuración!$B$6),Configuración!$B$5))</f>
        <v>240</v>
      </c>
      <c r="R163" s="20">
        <f>IF($Q163="NO APLICA","NO APLICA",$Q163*Configuración!$B$3)</f>
        <v>1920</v>
      </c>
      <c r="S163" s="19" t="str">
        <f>IF($O163&lt;Configuración!$B$8,"NO","SI")</f>
        <v>NO</v>
      </c>
      <c r="T163" s="20" t="str">
        <f>IF($S163="NO","NO APLICA",MAX(CEILING(($O163*(1-Configuración!$B$2))/Configuración!$B$4,Configuración!$B$6),Configuración!$B$5))</f>
        <v>NO APLICA</v>
      </c>
      <c r="U163" s="20" t="str">
        <f>IF($T163="NO APLICA","NO APLICA",$T163*Configuración!$B$4)</f>
        <v>NO APLICA</v>
      </c>
      <c r="V163" s="20">
        <f>MAX(CEILING($O163/Configuración!$B$9,Configuración!$B$6),Configuración!$B$5)</f>
        <v>100</v>
      </c>
      <c r="W163" s="19" t="s">
        <v>277</v>
      </c>
      <c r="X163" s="33">
        <v>46079</v>
      </c>
      <c r="Y163" s="17"/>
    </row>
    <row r="164" spans="1:25" ht="15.6" x14ac:dyDescent="0.3">
      <c r="A164" s="19" t="str">
        <f>IF(OR(E164="",F164="",G164=""),"",E164&amp;"-"&amp;F164&amp;"-"&amp;G164&amp;"-"&amp;TEXT(COUNTIFS($E$2:E164,E164,$F$2:F164,F164,$G$2:G164,G164),"000"))</f>
        <v>PLA-TAM-PSL-004</v>
      </c>
      <c r="B164" s="19" t="s">
        <v>135</v>
      </c>
      <c r="C164" s="19" t="s">
        <v>418</v>
      </c>
      <c r="D164" s="19" t="s">
        <v>328</v>
      </c>
      <c r="E164" s="19" t="str">
        <f>_xlfn.XLOOKUP(B164,Configuración!A:A,Configuración!B:B,"")</f>
        <v>PLA</v>
      </c>
      <c r="F164" s="19" t="str" cm="1">
        <f t="array" ref="F164">IF($C164="","",_xlfn.XLOOKUP(1,(Configuración!D:D=$B164)*(Configuración!E:E=$C164),Configuración!F:F,""))</f>
        <v>TAM</v>
      </c>
      <c r="G164" s="19" t="str">
        <f>IF($D164="","",_xlfn.XLOOKUP($D164,Configuración!H:H,Configuración!I:I,""))</f>
        <v>PSL</v>
      </c>
      <c r="H164" s="19" t="s">
        <v>140</v>
      </c>
      <c r="I164" s="19" t="s">
        <v>140</v>
      </c>
      <c r="J164" s="19" t="s">
        <v>139</v>
      </c>
      <c r="K164" s="19" t="s">
        <v>276</v>
      </c>
      <c r="L164" s="20">
        <v>2310</v>
      </c>
      <c r="M164" s="20">
        <f t="shared" si="10"/>
        <v>580</v>
      </c>
      <c r="N164" s="20">
        <f t="shared" si="11"/>
        <v>2320</v>
      </c>
      <c r="O164" s="20">
        <v>3300</v>
      </c>
      <c r="P164" s="19" t="str">
        <f>IF($O164&lt;Configuración!$B$7,"NO","SI")</f>
        <v>SI</v>
      </c>
      <c r="Q164" s="20">
        <f>IF($P164="NO","NO APLICA",MAX(CEILING(($O164*(1-Configuración!$B$2))/Configuración!$B$3,Configuración!$B$6),Configuración!$B$5))</f>
        <v>330</v>
      </c>
      <c r="R164" s="20">
        <f>IF($Q164="NO APLICA","NO APLICA",$Q164*Configuración!$B$3)</f>
        <v>2640</v>
      </c>
      <c r="S164" s="19" t="str">
        <f>IF($O164&lt;Configuración!$B$8,"NO","SI")</f>
        <v>SI</v>
      </c>
      <c r="T164" s="20">
        <f>IF($S164="NO","NO APLICA",MAX(CEILING(($O164*(1-Configuración!$B$2))/Configuración!$B$4,Configuración!$B$6),Configuración!$B$5))</f>
        <v>220</v>
      </c>
      <c r="U164" s="20">
        <f>IF($T164="NO APLICA","NO APLICA",$T164*Configuración!$B$4)</f>
        <v>2640</v>
      </c>
      <c r="V164" s="20">
        <f>MAX(CEILING($O164/Configuración!$B$9,Configuración!$B$6),Configuración!$B$5)</f>
        <v>100</v>
      </c>
      <c r="W164" s="19" t="s">
        <v>277</v>
      </c>
      <c r="X164" s="33">
        <v>46079</v>
      </c>
      <c r="Y164" s="17"/>
    </row>
    <row r="165" spans="1:25" ht="15.6" x14ac:dyDescent="0.3">
      <c r="A165" s="19" t="str">
        <f>IF(OR(E165="",F165="",G165=""),"",E165&amp;"-"&amp;F165&amp;"-"&amp;G165&amp;"-"&amp;TEXT(COUNTIFS($E$2:E165,E165,$F$2:F165,F165,$G$2:G165,G165),"000"))</f>
        <v>PLA-TAM-PSL-005</v>
      </c>
      <c r="B165" s="19" t="s">
        <v>135</v>
      </c>
      <c r="C165" s="19" t="s">
        <v>418</v>
      </c>
      <c r="D165" s="19" t="s">
        <v>328</v>
      </c>
      <c r="E165" s="19" t="str">
        <f>_xlfn.XLOOKUP(B165,Configuración!A:A,Configuración!B:B,"")</f>
        <v>PLA</v>
      </c>
      <c r="F165" s="19" t="str" cm="1">
        <f t="array" ref="F165">IF($C165="","",_xlfn.XLOOKUP(1,(Configuración!D:D=$B165)*(Configuración!E:E=$C165),Configuración!F:F,""))</f>
        <v>TAM</v>
      </c>
      <c r="G165" s="19" t="str">
        <f>IF($D165="","",_xlfn.XLOOKUP($D165,Configuración!H:H,Configuración!I:I,""))</f>
        <v>PSL</v>
      </c>
      <c r="H165" s="19" t="s">
        <v>141</v>
      </c>
      <c r="I165" s="19" t="s">
        <v>141</v>
      </c>
      <c r="J165" s="19" t="s">
        <v>139</v>
      </c>
      <c r="K165" s="19" t="s">
        <v>276</v>
      </c>
      <c r="L165" s="20">
        <v>3850</v>
      </c>
      <c r="M165" s="20">
        <f t="shared" si="10"/>
        <v>970</v>
      </c>
      <c r="N165" s="20">
        <f t="shared" si="11"/>
        <v>3880</v>
      </c>
      <c r="O165" s="20">
        <v>5500</v>
      </c>
      <c r="P165" s="19" t="str">
        <f>IF($O165&lt;Configuración!$B$7,"NO","SI")</f>
        <v>SI</v>
      </c>
      <c r="Q165" s="20">
        <f>IF($P165="NO","NO APLICA",MAX(CEILING(($O165*(1-Configuración!$B$2))/Configuración!$B$3,Configuración!$B$6),Configuración!$B$5))</f>
        <v>550</v>
      </c>
      <c r="R165" s="20">
        <f>IF($Q165="NO APLICA","NO APLICA",$Q165*Configuración!$B$3)</f>
        <v>4400</v>
      </c>
      <c r="S165" s="19" t="str">
        <f>IF($O165&lt;Configuración!$B$8,"NO","SI")</f>
        <v>SI</v>
      </c>
      <c r="T165" s="20">
        <f>IF($S165="NO","NO APLICA",MAX(CEILING(($O165*(1-Configuración!$B$2))/Configuración!$B$4,Configuración!$B$6),Configuración!$B$5))</f>
        <v>370</v>
      </c>
      <c r="U165" s="20">
        <f>IF($T165="NO APLICA","NO APLICA",$T165*Configuración!$B$4)</f>
        <v>4440</v>
      </c>
      <c r="V165" s="20">
        <f>MAX(CEILING($O165/Configuración!$B$9,Configuración!$B$6),Configuración!$B$5)</f>
        <v>110</v>
      </c>
      <c r="W165" s="19" t="s">
        <v>277</v>
      </c>
      <c r="X165" s="33">
        <v>46079</v>
      </c>
      <c r="Y165" s="17"/>
    </row>
    <row r="166" spans="1:25" ht="15.6" x14ac:dyDescent="0.3">
      <c r="A166" s="19" t="str">
        <f>IF(OR(E166="",F166="",G166=""),"",E166&amp;"-"&amp;F166&amp;"-"&amp;G166&amp;"-"&amp;TEXT(COUNTIFS($E$2:E166,E166,$F$2:F166,F166,$G$2:G166,G166),"000"))</f>
        <v>PLA-TAM-PSL-006</v>
      </c>
      <c r="B166" s="19" t="s">
        <v>135</v>
      </c>
      <c r="C166" s="19" t="s">
        <v>418</v>
      </c>
      <c r="D166" s="19" t="s">
        <v>328</v>
      </c>
      <c r="E166" s="19" t="str">
        <f>_xlfn.XLOOKUP(B166,Configuración!A:A,Configuración!B:B,"")</f>
        <v>PLA</v>
      </c>
      <c r="F166" s="19" t="str" cm="1">
        <f t="array" ref="F166">IF($C166="","",_xlfn.XLOOKUP(1,(Configuración!D:D=$B166)*(Configuración!E:E=$C166),Configuración!F:F,""))</f>
        <v>TAM</v>
      </c>
      <c r="G166" s="19" t="str">
        <f>IF($D166="","",_xlfn.XLOOKUP($D166,Configuración!H:H,Configuración!I:I,""))</f>
        <v>PSL</v>
      </c>
      <c r="H166" s="19" t="s">
        <v>142</v>
      </c>
      <c r="I166" s="19" t="s">
        <v>142</v>
      </c>
      <c r="J166" s="19" t="s">
        <v>139</v>
      </c>
      <c r="K166" s="19" t="s">
        <v>276</v>
      </c>
      <c r="L166" s="20">
        <v>5950</v>
      </c>
      <c r="M166" s="20">
        <f t="shared" si="10"/>
        <v>1490</v>
      </c>
      <c r="N166" s="20">
        <f t="shared" si="11"/>
        <v>5960</v>
      </c>
      <c r="O166" s="20">
        <v>8500</v>
      </c>
      <c r="P166" s="19" t="str">
        <f>IF($O166&lt;Configuración!$B$7,"NO","SI")</f>
        <v>SI</v>
      </c>
      <c r="Q166" s="20">
        <f>IF($P166="NO","NO APLICA",MAX(CEILING(($O166*(1-Configuración!$B$2))/Configuración!$B$3,Configuración!$B$6),Configuración!$B$5))</f>
        <v>850</v>
      </c>
      <c r="R166" s="20">
        <f>IF($Q166="NO APLICA","NO APLICA",$Q166*Configuración!$B$3)</f>
        <v>6800</v>
      </c>
      <c r="S166" s="19" t="str">
        <f>IF($O166&lt;Configuración!$B$8,"NO","SI")</f>
        <v>SI</v>
      </c>
      <c r="T166" s="20">
        <f>IF($S166="NO","NO APLICA",MAX(CEILING(($O166*(1-Configuración!$B$2))/Configuración!$B$4,Configuración!$B$6),Configuración!$B$5))</f>
        <v>570</v>
      </c>
      <c r="U166" s="20">
        <f>IF($T166="NO APLICA","NO APLICA",$T166*Configuración!$B$4)</f>
        <v>6840</v>
      </c>
      <c r="V166" s="20">
        <f>MAX(CEILING($O166/Configuración!$B$9,Configuración!$B$6),Configuración!$B$5)</f>
        <v>170</v>
      </c>
      <c r="W166" s="19" t="s">
        <v>277</v>
      </c>
      <c r="X166" s="33">
        <v>46079</v>
      </c>
      <c r="Y166" s="17"/>
    </row>
    <row r="167" spans="1:25" ht="15.6" x14ac:dyDescent="0.3">
      <c r="A167" s="19" t="str">
        <f>IF(OR(E167="",F167="",G167=""),"",E167&amp;"-"&amp;F167&amp;"-"&amp;G167&amp;"-"&amp;TEXT(COUNTIFS($E$2:E167,E167,$F$2:F167,F167,$G$2:G167,G167),"000"))</f>
        <v>MOB-TOA-TUB-001</v>
      </c>
      <c r="B167" s="19" t="s">
        <v>19</v>
      </c>
      <c r="C167" s="19" t="s">
        <v>403</v>
      </c>
      <c r="D167" s="19" t="s">
        <v>329</v>
      </c>
      <c r="E167" s="19" t="str">
        <f>_xlfn.XLOOKUP(B167,Configuración!A:A,Configuración!B:B,"")</f>
        <v>MOB</v>
      </c>
      <c r="F167" s="19" t="str" cm="1">
        <f t="array" ref="F167">IF($C167="","",_xlfn.XLOOKUP(1,(Configuración!D:D=$B167)*(Configuración!E:E=$C167),Configuración!F:F,""))</f>
        <v>TOA</v>
      </c>
      <c r="G167" s="19" t="str">
        <f>IF($D167="","",_xlfn.XLOOKUP($D167,Configuración!H:H,Configuración!I:I,""))</f>
        <v>TUB</v>
      </c>
      <c r="H167" s="19" t="s">
        <v>190</v>
      </c>
      <c r="I167" s="19" t="s">
        <v>190</v>
      </c>
      <c r="J167" s="19" t="s">
        <v>156</v>
      </c>
      <c r="K167" s="19" t="s">
        <v>276</v>
      </c>
      <c r="L167" s="20">
        <v>1260</v>
      </c>
      <c r="M167" s="20">
        <f t="shared" si="10"/>
        <v>320</v>
      </c>
      <c r="N167" s="20">
        <f t="shared" si="11"/>
        <v>1280</v>
      </c>
      <c r="O167" s="20">
        <v>1800</v>
      </c>
      <c r="P167" s="19" t="str">
        <f>IF($O167&lt;Configuración!$B$7,"NO","SI")</f>
        <v>NO</v>
      </c>
      <c r="Q167" s="20" t="str">
        <f>IF($P167="NO","NO APLICA",MAX(CEILING(($O167*(1-Configuración!$B$2))/Configuración!$B$3,Configuración!$B$6),Configuración!$B$5))</f>
        <v>NO APLICA</v>
      </c>
      <c r="R167" s="20" t="str">
        <f>IF($Q167="NO APLICA","NO APLICA",$Q167*Configuración!$B$3)</f>
        <v>NO APLICA</v>
      </c>
      <c r="S167" s="19" t="str">
        <f>IF($O167&lt;Configuración!$B$8,"NO","SI")</f>
        <v>NO</v>
      </c>
      <c r="T167" s="20" t="str">
        <f>IF($S167="NO","NO APLICA",MAX(CEILING(($O167*(1-Configuración!$B$2))/Configuración!$B$4,Configuración!$B$6),Configuración!$B$5))</f>
        <v>NO APLICA</v>
      </c>
      <c r="U167" s="20" t="str">
        <f>IF($T167="NO APLICA","NO APLICA",$T167*Configuración!$B$4)</f>
        <v>NO APLICA</v>
      </c>
      <c r="V167" s="20">
        <f>MAX(CEILING($O167/Configuración!$B$9,Configuración!$B$6),Configuración!$B$5)</f>
        <v>100</v>
      </c>
      <c r="W167" s="19" t="s">
        <v>277</v>
      </c>
      <c r="X167" s="33">
        <v>46079</v>
      </c>
      <c r="Y167" s="17"/>
    </row>
    <row r="168" spans="1:25" ht="15.6" x14ac:dyDescent="0.3">
      <c r="A168" s="19" t="str">
        <f>IF(OR(E168="",F168="",G168=""),"",E168&amp;"-"&amp;F168&amp;"-"&amp;G168&amp;"-"&amp;TEXT(COUNTIFS($E$2:E168,E168,$F$2:F168,F168,$G$2:G168,G168),"000"))</f>
        <v>MOB-TOC-MAD-001</v>
      </c>
      <c r="B168" s="19" t="s">
        <v>19</v>
      </c>
      <c r="C168" s="19" t="s">
        <v>381</v>
      </c>
      <c r="D168" s="19" t="s">
        <v>209</v>
      </c>
      <c r="E168" s="19" t="str">
        <f>_xlfn.XLOOKUP(B168,Configuración!A:A,Configuración!B:B,"")</f>
        <v>MOB</v>
      </c>
      <c r="F168" s="19" t="str" cm="1">
        <f t="array" ref="F168">IF($C168="","",_xlfn.XLOOKUP(1,(Configuración!D:D=$B168)*(Configuración!E:E=$C168),Configuración!F:F,""))</f>
        <v>TOC</v>
      </c>
      <c r="G168" s="19" t="str">
        <f>IF($D168="","",_xlfn.XLOOKUP($D168,Configuración!H:H,Configuración!I:I,""))</f>
        <v>MAD</v>
      </c>
      <c r="H168" s="19" t="s">
        <v>219</v>
      </c>
      <c r="I168" s="19" t="s">
        <v>219</v>
      </c>
      <c r="J168" s="19" t="s">
        <v>211</v>
      </c>
      <c r="K168" s="19" t="s">
        <v>276</v>
      </c>
      <c r="L168" s="20">
        <v>6650</v>
      </c>
      <c r="M168" s="20">
        <f t="shared" si="10"/>
        <v>1670</v>
      </c>
      <c r="N168" s="20">
        <f t="shared" si="11"/>
        <v>6680</v>
      </c>
      <c r="O168" s="20">
        <v>9500</v>
      </c>
      <c r="P168" s="19" t="str">
        <f>IF($O168&lt;Configuración!$B$7,"NO","SI")</f>
        <v>SI</v>
      </c>
      <c r="Q168" s="20">
        <f>IF($P168="NO","NO APLICA",MAX(CEILING(($O168*(1-Configuración!$B$2))/Configuración!$B$3,Configuración!$B$6),Configuración!$B$5))</f>
        <v>950</v>
      </c>
      <c r="R168" s="20">
        <f>IF($Q168="NO APLICA","NO APLICA",$Q168*Configuración!$B$3)</f>
        <v>7600</v>
      </c>
      <c r="S168" s="19" t="str">
        <f>IF($O168&lt;Configuración!$B$8,"NO","SI")</f>
        <v>SI</v>
      </c>
      <c r="T168" s="20">
        <f>IF($S168="NO","NO APLICA",MAX(CEILING(($O168*(1-Configuración!$B$2))/Configuración!$B$4,Configuración!$B$6),Configuración!$B$5))</f>
        <v>640</v>
      </c>
      <c r="U168" s="20">
        <f>IF($T168="NO APLICA","NO APLICA",$T168*Configuración!$B$4)</f>
        <v>7680</v>
      </c>
      <c r="V168" s="20">
        <f>MAX(CEILING($O168/Configuración!$B$9,Configuración!$B$6),Configuración!$B$5)</f>
        <v>190</v>
      </c>
      <c r="W168" s="19" t="s">
        <v>277</v>
      </c>
      <c r="X168" s="33">
        <v>46079</v>
      </c>
      <c r="Y168" s="17"/>
    </row>
    <row r="169" spans="1:25" ht="15.6" x14ac:dyDescent="0.3">
      <c r="A169" s="19" t="str">
        <f>IF(OR(E169="",F169="",G169=""),"",E169&amp;"-"&amp;F169&amp;"-"&amp;G169&amp;"-"&amp;TEXT(COUNTIFS($E$2:E169,E169,$F$2:F169,F169,$G$2:G169,G169),"000"))</f>
        <v>MOB-TOC-MAD-002</v>
      </c>
      <c r="B169" s="19" t="s">
        <v>19</v>
      </c>
      <c r="C169" s="19" t="s">
        <v>381</v>
      </c>
      <c r="D169" s="19" t="s">
        <v>209</v>
      </c>
      <c r="E169" s="19" t="str">
        <f>_xlfn.XLOOKUP(B169,Configuración!A:A,Configuración!B:B,"")</f>
        <v>MOB</v>
      </c>
      <c r="F169" s="19" t="str" cm="1">
        <f t="array" ref="F169">IF($C169="","",_xlfn.XLOOKUP(1,(Configuración!D:D=$B169)*(Configuración!E:E=$C169),Configuración!F:F,""))</f>
        <v>TOC</v>
      </c>
      <c r="G169" s="19" t="str">
        <f>IF($D169="","",_xlfn.XLOOKUP($D169,Configuración!H:H,Configuración!I:I,""))</f>
        <v>MAD</v>
      </c>
      <c r="H169" s="19" t="s">
        <v>230</v>
      </c>
      <c r="I169" s="19" t="s">
        <v>230</v>
      </c>
      <c r="J169" s="19" t="s">
        <v>211</v>
      </c>
      <c r="K169" s="19" t="s">
        <v>276</v>
      </c>
      <c r="L169" s="20">
        <v>11900</v>
      </c>
      <c r="M169" s="20">
        <f t="shared" si="10"/>
        <v>2980</v>
      </c>
      <c r="N169" s="20">
        <f t="shared" si="11"/>
        <v>11920</v>
      </c>
      <c r="O169" s="20">
        <v>17000</v>
      </c>
      <c r="P169" s="19" t="str">
        <f>IF($O169&lt;Configuración!$B$7,"NO","SI")</f>
        <v>SI</v>
      </c>
      <c r="Q169" s="20">
        <f>IF($P169="NO","NO APLICA",MAX(CEILING(($O169*(1-Configuración!$B$2))/Configuración!$B$3,Configuración!$B$6),Configuración!$B$5))</f>
        <v>1700</v>
      </c>
      <c r="R169" s="20">
        <f>IF($Q169="NO APLICA","NO APLICA",$Q169*Configuración!$B$3)</f>
        <v>13600</v>
      </c>
      <c r="S169" s="19" t="str">
        <f>IF($O169&lt;Configuración!$B$8,"NO","SI")</f>
        <v>SI</v>
      </c>
      <c r="T169" s="20">
        <f>IF($S169="NO","NO APLICA",MAX(CEILING(($O169*(1-Configuración!$B$2))/Configuración!$B$4,Configuración!$B$6),Configuración!$B$5))</f>
        <v>1140</v>
      </c>
      <c r="U169" s="20">
        <f>IF($T169="NO APLICA","NO APLICA",$T169*Configuración!$B$4)</f>
        <v>13680</v>
      </c>
      <c r="V169" s="20">
        <f>MAX(CEILING($O169/Configuración!$B$9,Configuración!$B$6),Configuración!$B$5)</f>
        <v>330</v>
      </c>
      <c r="W169" s="19" t="s">
        <v>277</v>
      </c>
      <c r="X169" s="33">
        <v>46079</v>
      </c>
      <c r="Y169" s="17"/>
    </row>
    <row r="170" spans="1:25" ht="15.6" x14ac:dyDescent="0.3">
      <c r="A170" s="19" t="str">
        <f>IF(OR(E170="",F170="",G170=""),"",E170&amp;"-"&amp;F170&amp;"-"&amp;G170&amp;"-"&amp;TEXT(COUNTIFS($E$2:E170,E170,$F$2:F170,F170,$G$2:G170,G170),"000"))</f>
        <v>MOB-TOC-MAD-003</v>
      </c>
      <c r="B170" s="19" t="s">
        <v>19</v>
      </c>
      <c r="C170" s="19" t="s">
        <v>381</v>
      </c>
      <c r="D170" s="19" t="s">
        <v>209</v>
      </c>
      <c r="E170" s="19" t="str">
        <f>_xlfn.XLOOKUP(B170,Configuración!A:A,Configuración!B:B,"")</f>
        <v>MOB</v>
      </c>
      <c r="F170" s="19" t="str" cm="1">
        <f t="array" ref="F170">IF($C170="","",_xlfn.XLOOKUP(1,(Configuración!D:D=$B170)*(Configuración!E:E=$C170),Configuración!F:F,""))</f>
        <v>TOC</v>
      </c>
      <c r="G170" s="19" t="str">
        <f>IF($D170="","",_xlfn.XLOOKUP($D170,Configuración!H:H,Configuración!I:I,""))</f>
        <v>MAD</v>
      </c>
      <c r="H170" s="19" t="s">
        <v>217</v>
      </c>
      <c r="I170" s="19" t="s">
        <v>217</v>
      </c>
      <c r="J170" s="19" t="s">
        <v>211</v>
      </c>
      <c r="K170" s="19" t="s">
        <v>276</v>
      </c>
      <c r="L170" s="20">
        <v>6650</v>
      </c>
      <c r="M170" s="20">
        <f t="shared" si="10"/>
        <v>1670</v>
      </c>
      <c r="N170" s="20">
        <f t="shared" si="11"/>
        <v>6680</v>
      </c>
      <c r="O170" s="20">
        <v>9500</v>
      </c>
      <c r="P170" s="19" t="str">
        <f>IF($O170&lt;Configuración!$B$7,"NO","SI")</f>
        <v>SI</v>
      </c>
      <c r="Q170" s="20">
        <f>IF($P170="NO","NO APLICA",MAX(CEILING(($O170*(1-Configuración!$B$2))/Configuración!$B$3,Configuración!$B$6),Configuración!$B$5))</f>
        <v>950</v>
      </c>
      <c r="R170" s="20">
        <f>IF($Q170="NO APLICA","NO APLICA",$Q170*Configuración!$B$3)</f>
        <v>7600</v>
      </c>
      <c r="S170" s="19" t="str">
        <f>IF($O170&lt;Configuración!$B$8,"NO","SI")</f>
        <v>SI</v>
      </c>
      <c r="T170" s="20">
        <f>IF($S170="NO","NO APLICA",MAX(CEILING(($O170*(1-Configuración!$B$2))/Configuración!$B$4,Configuración!$B$6),Configuración!$B$5))</f>
        <v>640</v>
      </c>
      <c r="U170" s="20">
        <f>IF($T170="NO APLICA","NO APLICA",$T170*Configuración!$B$4)</f>
        <v>7680</v>
      </c>
      <c r="V170" s="20">
        <f>MAX(CEILING($O170/Configuración!$B$9,Configuración!$B$6),Configuración!$B$5)</f>
        <v>190</v>
      </c>
      <c r="W170" s="19" t="s">
        <v>277</v>
      </c>
      <c r="X170" s="33">
        <v>46079</v>
      </c>
      <c r="Y170" s="17"/>
    </row>
    <row r="171" spans="1:25" ht="15.6" x14ac:dyDescent="0.3">
      <c r="A171" s="19" t="str">
        <f>IF(OR(E171="",F171="",G171=""),"",E171&amp;"-"&amp;F171&amp;"-"&amp;G171&amp;"-"&amp;TEXT(COUNTIFS($E$2:E171,E171,$F$2:F171,F171,$G$2:G171,G171),"000"))</f>
        <v>MOB-TOC-TUB-001</v>
      </c>
      <c r="B171" s="19" t="s">
        <v>19</v>
      </c>
      <c r="C171" s="19" t="s">
        <v>381</v>
      </c>
      <c r="D171" s="19" t="s">
        <v>329</v>
      </c>
      <c r="E171" s="19" t="str">
        <f>_xlfn.XLOOKUP(B171,Configuración!A:A,Configuración!B:B,"")</f>
        <v>MOB</v>
      </c>
      <c r="F171" s="19" t="str" cm="1">
        <f t="array" ref="F171">IF($C171="","",_xlfn.XLOOKUP(1,(Configuración!D:D=$B171)*(Configuración!E:E=$C171),Configuración!F:F,""))</f>
        <v>TOC</v>
      </c>
      <c r="G171" s="19" t="str">
        <f>IF($D171="","",_xlfn.XLOOKUP($D171,Configuración!H:H,Configuración!I:I,""))</f>
        <v>TUB</v>
      </c>
      <c r="H171" s="19" t="s">
        <v>175</v>
      </c>
      <c r="I171" s="19" t="s">
        <v>175</v>
      </c>
      <c r="J171" s="19" t="s">
        <v>156</v>
      </c>
      <c r="K171" s="19" t="s">
        <v>276</v>
      </c>
      <c r="L171" s="20">
        <v>2100</v>
      </c>
      <c r="M171" s="20">
        <f t="shared" si="10"/>
        <v>530</v>
      </c>
      <c r="N171" s="20">
        <f t="shared" si="11"/>
        <v>2120</v>
      </c>
      <c r="O171" s="20">
        <v>3000</v>
      </c>
      <c r="P171" s="19" t="str">
        <f>IF($O171&lt;Configuración!$B$7,"NO","SI")</f>
        <v>SI</v>
      </c>
      <c r="Q171" s="20">
        <f>IF($P171="NO","NO APLICA",MAX(CEILING(($O171*(1-Configuración!$B$2))/Configuración!$B$3,Configuración!$B$6),Configuración!$B$5))</f>
        <v>300</v>
      </c>
      <c r="R171" s="20">
        <f>IF($Q171="NO APLICA","NO APLICA",$Q171*Configuración!$B$3)</f>
        <v>2400</v>
      </c>
      <c r="S171" s="19" t="str">
        <f>IF($O171&lt;Configuración!$B$8,"NO","SI")</f>
        <v>SI</v>
      </c>
      <c r="T171" s="20">
        <f>IF($S171="NO","NO APLICA",MAX(CEILING(($O171*(1-Configuración!$B$2))/Configuración!$B$4,Configuración!$B$6),Configuración!$B$5))</f>
        <v>200</v>
      </c>
      <c r="U171" s="20">
        <f>IF($T171="NO APLICA","NO APLICA",$T171*Configuración!$B$4)</f>
        <v>2400</v>
      </c>
      <c r="V171" s="20">
        <f>MAX(CEILING($O171/Configuración!$B$9,Configuración!$B$6),Configuración!$B$5)</f>
        <v>100</v>
      </c>
      <c r="W171" s="19" t="s">
        <v>277</v>
      </c>
      <c r="X171" s="33">
        <v>46079</v>
      </c>
      <c r="Y171" s="17"/>
    </row>
    <row r="172" spans="1:25" ht="15.6" x14ac:dyDescent="0.3">
      <c r="A172" s="19" t="str">
        <f>IF(OR(E172="",F172="",G172=""),"",E172&amp;"-"&amp;F172&amp;"-"&amp;G172&amp;"-"&amp;TEXT(COUNTIFS($E$2:E172,E172,$F$2:F172,F172,$G$2:G172,G172),"000"))</f>
        <v>MOB-TOC-MAD-004</v>
      </c>
      <c r="B172" s="19" t="s">
        <v>19</v>
      </c>
      <c r="C172" s="19" t="s">
        <v>381</v>
      </c>
      <c r="D172" s="19" t="s">
        <v>209</v>
      </c>
      <c r="E172" s="19" t="str">
        <f>_xlfn.XLOOKUP(B172,Configuración!A:A,Configuración!B:B,"")</f>
        <v>MOB</v>
      </c>
      <c r="F172" s="19" t="str" cm="1">
        <f t="array" ref="F172">IF($C172="","",_xlfn.XLOOKUP(1,(Configuración!D:D=$B172)*(Configuración!E:E=$C172),Configuración!F:F,""))</f>
        <v>TOC</v>
      </c>
      <c r="G172" s="19" t="str">
        <f>IF($D172="","",_xlfn.XLOOKUP($D172,Configuración!H:H,Configuración!I:I,""))</f>
        <v>MAD</v>
      </c>
      <c r="H172" s="19" t="s">
        <v>218</v>
      </c>
      <c r="I172" s="19" t="s">
        <v>218</v>
      </c>
      <c r="J172" s="19" t="s">
        <v>211</v>
      </c>
      <c r="K172" s="19" t="s">
        <v>276</v>
      </c>
      <c r="L172" s="20">
        <v>7350</v>
      </c>
      <c r="M172" s="20">
        <f t="shared" si="10"/>
        <v>1840</v>
      </c>
      <c r="N172" s="20">
        <f t="shared" si="11"/>
        <v>7360</v>
      </c>
      <c r="O172" s="20">
        <v>10500</v>
      </c>
      <c r="P172" s="19" t="str">
        <f>IF($O172&lt;Configuración!$B$7,"NO","SI")</f>
        <v>SI</v>
      </c>
      <c r="Q172" s="20">
        <f>IF($P172="NO","NO APLICA",MAX(CEILING(($O172*(1-Configuración!$B$2))/Configuración!$B$3,Configuración!$B$6),Configuración!$B$5))</f>
        <v>1050</v>
      </c>
      <c r="R172" s="20">
        <f>IF($Q172="NO APLICA","NO APLICA",$Q172*Configuración!$B$3)</f>
        <v>8400</v>
      </c>
      <c r="S172" s="19" t="str">
        <f>IF($O172&lt;Configuración!$B$8,"NO","SI")</f>
        <v>SI</v>
      </c>
      <c r="T172" s="20">
        <f>IF($S172="NO","NO APLICA",MAX(CEILING(($O172*(1-Configuración!$B$2))/Configuración!$B$4,Configuración!$B$6),Configuración!$B$5))</f>
        <v>700</v>
      </c>
      <c r="U172" s="20">
        <f>IF($T172="NO APLICA","NO APLICA",$T172*Configuración!$B$4)</f>
        <v>8400</v>
      </c>
      <c r="V172" s="20">
        <f>MAX(CEILING($O172/Configuración!$B$9,Configuración!$B$6),Configuración!$B$5)</f>
        <v>210</v>
      </c>
      <c r="W172" s="19" t="s">
        <v>277</v>
      </c>
      <c r="X172" s="33">
        <v>46079</v>
      </c>
      <c r="Y172" s="17"/>
    </row>
    <row r="173" spans="1:25" ht="15.6" x14ac:dyDescent="0.3">
      <c r="A173" s="19" t="str">
        <f>IF(OR(E173="",F173="",G173=""),"",E173&amp;"-"&amp;F173&amp;"-"&amp;G173&amp;"-"&amp;TEXT(COUNTIFS($E$2:E173,E173,$F$2:F173,F173,$G$2:G173,G173),"000"))</f>
        <v>MOB-TOC-MAD-005</v>
      </c>
      <c r="B173" s="19" t="s">
        <v>19</v>
      </c>
      <c r="C173" s="19" t="s">
        <v>381</v>
      </c>
      <c r="D173" s="19" t="s">
        <v>209</v>
      </c>
      <c r="E173" s="19" t="str">
        <f>_xlfn.XLOOKUP(B173,Configuración!A:A,Configuración!B:B,"")</f>
        <v>MOB</v>
      </c>
      <c r="F173" s="19" t="str" cm="1">
        <f t="array" ref="F173">IF($C173="","",_xlfn.XLOOKUP(1,(Configuración!D:D=$B173)*(Configuración!E:E=$C173),Configuración!F:F,""))</f>
        <v>TOC</v>
      </c>
      <c r="G173" s="19" t="str">
        <f>IF($D173="","",_xlfn.XLOOKUP($D173,Configuración!H:H,Configuración!I:I,""))</f>
        <v>MAD</v>
      </c>
      <c r="H173" s="19" t="s">
        <v>229</v>
      </c>
      <c r="I173" s="19" t="s">
        <v>229</v>
      </c>
      <c r="J173" s="19" t="s">
        <v>211</v>
      </c>
      <c r="K173" s="19" t="s">
        <v>276</v>
      </c>
      <c r="L173" s="20">
        <v>12600</v>
      </c>
      <c r="M173" s="20">
        <f t="shared" si="10"/>
        <v>3150</v>
      </c>
      <c r="N173" s="20">
        <f t="shared" si="11"/>
        <v>12600</v>
      </c>
      <c r="O173" s="20">
        <v>18000</v>
      </c>
      <c r="P173" s="19" t="str">
        <f>IF($O173&lt;Configuración!$B$7,"NO","SI")</f>
        <v>SI</v>
      </c>
      <c r="Q173" s="20">
        <f>IF($P173="NO","NO APLICA",MAX(CEILING(($O173*(1-Configuración!$B$2))/Configuración!$B$3,Configuración!$B$6),Configuración!$B$5))</f>
        <v>1800</v>
      </c>
      <c r="R173" s="20">
        <f>IF($Q173="NO APLICA","NO APLICA",$Q173*Configuración!$B$3)</f>
        <v>14400</v>
      </c>
      <c r="S173" s="19" t="str">
        <f>IF($O173&lt;Configuración!$B$8,"NO","SI")</f>
        <v>SI</v>
      </c>
      <c r="T173" s="20">
        <f>IF($S173="NO","NO APLICA",MAX(CEILING(($O173*(1-Configuración!$B$2))/Configuración!$B$4,Configuración!$B$6),Configuración!$B$5))</f>
        <v>1200</v>
      </c>
      <c r="U173" s="20">
        <f>IF($T173="NO APLICA","NO APLICA",$T173*Configuración!$B$4)</f>
        <v>14400</v>
      </c>
      <c r="V173" s="20">
        <f>MAX(CEILING($O173/Configuración!$B$9,Configuración!$B$6),Configuración!$B$5)</f>
        <v>350</v>
      </c>
      <c r="W173" s="19" t="s">
        <v>277</v>
      </c>
      <c r="X173" s="33">
        <v>46079</v>
      </c>
      <c r="Y173" s="17"/>
    </row>
    <row r="174" spans="1:25" ht="15.6" x14ac:dyDescent="0.3">
      <c r="A174" s="19" t="str">
        <f>IF(OR(E174="",F174="",G174=""),"",E174&amp;"-"&amp;F174&amp;"-"&amp;G174&amp;"-"&amp;TEXT(COUNTIFS($E$2:E174,E174,$F$2:F174,F174,$G$2:G174,G174),"000"))</f>
        <v>MOB-TRA-TUB-001</v>
      </c>
      <c r="B174" s="19" t="s">
        <v>19</v>
      </c>
      <c r="C174" s="19" t="s">
        <v>397</v>
      </c>
      <c r="D174" s="19" t="s">
        <v>329</v>
      </c>
      <c r="E174" s="19" t="str">
        <f>_xlfn.XLOOKUP(B174,Configuración!A:A,Configuración!B:B,"")</f>
        <v>MOB</v>
      </c>
      <c r="F174" s="19" t="str" cm="1">
        <f t="array" ref="F174">IF($C174="","",_xlfn.XLOOKUP(1,(Configuración!D:D=$B174)*(Configuración!E:E=$C174),Configuración!F:F,""))</f>
        <v>TRA</v>
      </c>
      <c r="G174" s="19" t="str">
        <f>IF($D174="","",_xlfn.XLOOKUP($D174,Configuración!H:H,Configuración!I:I,""))</f>
        <v>TUB</v>
      </c>
      <c r="H174" s="19" t="s">
        <v>180</v>
      </c>
      <c r="I174" s="19" t="s">
        <v>180</v>
      </c>
      <c r="J174" s="19" t="s">
        <v>156</v>
      </c>
      <c r="K174" s="19" t="s">
        <v>276</v>
      </c>
      <c r="L174" s="20">
        <v>2450</v>
      </c>
      <c r="M174" s="20">
        <f t="shared" si="10"/>
        <v>620</v>
      </c>
      <c r="N174" s="20">
        <f t="shared" si="11"/>
        <v>2480</v>
      </c>
      <c r="O174" s="20">
        <v>3500</v>
      </c>
      <c r="P174" s="19" t="str">
        <f>IF($O174&lt;Configuración!$B$7,"NO","SI")</f>
        <v>SI</v>
      </c>
      <c r="Q174" s="20">
        <f>IF($P174="NO","NO APLICA",MAX(CEILING(($O174*(1-Configuración!$B$2))/Configuración!$B$3,Configuración!$B$6),Configuración!$B$5))</f>
        <v>350</v>
      </c>
      <c r="R174" s="20">
        <f>IF($Q174="NO APLICA","NO APLICA",$Q174*Configuración!$B$3)</f>
        <v>2800</v>
      </c>
      <c r="S174" s="19" t="str">
        <f>IF($O174&lt;Configuración!$B$8,"NO","SI")</f>
        <v>SI</v>
      </c>
      <c r="T174" s="20">
        <f>IF($S174="NO","NO APLICA",MAX(CEILING(($O174*(1-Configuración!$B$2))/Configuración!$B$4,Configuración!$B$6),Configuración!$B$5))</f>
        <v>240</v>
      </c>
      <c r="U174" s="20">
        <f>IF($T174="NO APLICA","NO APLICA",$T174*Configuración!$B$4)</f>
        <v>2880</v>
      </c>
      <c r="V174" s="20">
        <f>MAX(CEILING($O174/Configuración!$B$9,Configuración!$B$6),Configuración!$B$5)</f>
        <v>100</v>
      </c>
      <c r="W174" s="19" t="s">
        <v>277</v>
      </c>
      <c r="X174" s="33">
        <v>46079</v>
      </c>
      <c r="Y174" s="17"/>
    </row>
    <row r="175" spans="1:25" ht="15.6" x14ac:dyDescent="0.3">
      <c r="A175" s="19" t="str">
        <f>IF(OR(E175="",F175="",G175=""),"",E175&amp;"-"&amp;F175&amp;"-"&amp;G175&amp;"-"&amp;TEXT(COUNTIFS($E$2:E175,E175,$F$2:F175,F175,$G$2:G175,G175),"000"))</f>
        <v>MOB-TRI-TUB-001</v>
      </c>
      <c r="B175" s="19" t="s">
        <v>19</v>
      </c>
      <c r="C175" s="19" t="s">
        <v>485</v>
      </c>
      <c r="D175" s="19" t="s">
        <v>329</v>
      </c>
      <c r="E175" s="19" t="str">
        <f>_xlfn.XLOOKUP(B175,Configuración!A:A,Configuración!B:B,"")</f>
        <v>MOB</v>
      </c>
      <c r="F175" s="19" t="str" cm="1">
        <f t="array" ref="F175">IF($C175="","",_xlfn.XLOOKUP(1,(Configuración!D:D=$B175)*(Configuración!E:E=$C175),Configuración!F:F,""))</f>
        <v>TRI</v>
      </c>
      <c r="G175" s="19" t="str">
        <f>IF($D175="","",_xlfn.XLOOKUP($D175,Configuración!H:H,Configuración!I:I,""))</f>
        <v>TUB</v>
      </c>
      <c r="H175" s="19" t="s">
        <v>189</v>
      </c>
      <c r="I175" s="19" t="s">
        <v>189</v>
      </c>
      <c r="J175" s="19" t="s">
        <v>156</v>
      </c>
      <c r="K175" s="19" t="s">
        <v>276</v>
      </c>
      <c r="L175" s="20">
        <v>2100</v>
      </c>
      <c r="M175" s="20">
        <f t="shared" si="10"/>
        <v>530</v>
      </c>
      <c r="N175" s="20">
        <f t="shared" si="11"/>
        <v>2120</v>
      </c>
      <c r="O175" s="20">
        <v>3000</v>
      </c>
      <c r="P175" s="19" t="str">
        <f>IF($O175&lt;Configuración!$B$7,"NO","SI")</f>
        <v>SI</v>
      </c>
      <c r="Q175" s="20">
        <f>IF($P175="NO","NO APLICA",MAX(CEILING(($O175*(1-Configuración!$B$2))/Configuración!$B$3,Configuración!$B$6),Configuración!$B$5))</f>
        <v>300</v>
      </c>
      <c r="R175" s="20">
        <f>IF($Q175="NO APLICA","NO APLICA",$Q175*Configuración!$B$3)</f>
        <v>2400</v>
      </c>
      <c r="S175" s="19" t="str">
        <f>IF($O175&lt;Configuración!$B$8,"NO","SI")</f>
        <v>SI</v>
      </c>
      <c r="T175" s="20">
        <f>IF($S175="NO","NO APLICA",MAX(CEILING(($O175*(1-Configuración!$B$2))/Configuración!$B$4,Configuración!$B$6),Configuración!$B$5))</f>
        <v>200</v>
      </c>
      <c r="U175" s="20">
        <f>IF($T175="NO APLICA","NO APLICA",$T175*Configuración!$B$4)</f>
        <v>2400</v>
      </c>
      <c r="V175" s="20">
        <f>MAX(CEILING($O175/Configuración!$B$9,Configuración!$B$6),Configuración!$B$5)</f>
        <v>100</v>
      </c>
      <c r="W175" s="19" t="s">
        <v>277</v>
      </c>
      <c r="X175" s="33">
        <v>46079</v>
      </c>
      <c r="Y175" s="17"/>
    </row>
    <row r="176" spans="1:25" ht="15.6" x14ac:dyDescent="0.3">
      <c r="A176" s="19" t="str">
        <f>IF(OR(E176="",F176="",G176=""),"",E176&amp;"-"&amp;F176&amp;"-"&amp;G176&amp;"-"&amp;TEXT(COUNTIFS($E$2:E176,E176,$F$2:F176,F176,$G$2:G176,G176),"000"))</f>
        <v>MOB-TRI-TUB-002</v>
      </c>
      <c r="B176" s="19" t="s">
        <v>19</v>
      </c>
      <c r="C176" s="19" t="s">
        <v>485</v>
      </c>
      <c r="D176" s="19" t="s">
        <v>329</v>
      </c>
      <c r="E176" s="19" t="str">
        <f>_xlfn.XLOOKUP(B176,Configuración!A:A,Configuración!B:B,"")</f>
        <v>MOB</v>
      </c>
      <c r="F176" s="19" t="str" cm="1">
        <f t="array" ref="F176">IF($C176="","",_xlfn.XLOOKUP(1,(Configuración!D:D=$B176)*(Configuración!E:E=$C176),Configuración!F:F,""))</f>
        <v>TRI</v>
      </c>
      <c r="G176" s="19" t="str">
        <f>IF($D176="","",_xlfn.XLOOKUP($D176,Configuración!H:H,Configuración!I:I,""))</f>
        <v>TUB</v>
      </c>
      <c r="H176" s="19" t="s">
        <v>176</v>
      </c>
      <c r="I176" s="19" t="s">
        <v>176</v>
      </c>
      <c r="J176" s="19" t="s">
        <v>156</v>
      </c>
      <c r="K176" s="19" t="s">
        <v>276</v>
      </c>
      <c r="L176" s="20">
        <v>1750</v>
      </c>
      <c r="M176" s="20">
        <f t="shared" si="10"/>
        <v>440</v>
      </c>
      <c r="N176" s="20">
        <f t="shared" si="11"/>
        <v>1760</v>
      </c>
      <c r="O176" s="20">
        <v>2500</v>
      </c>
      <c r="P176" s="19" t="str">
        <f>IF($O176&lt;Configuración!$B$7,"NO","SI")</f>
        <v>SI</v>
      </c>
      <c r="Q176" s="20">
        <f>IF($P176="NO","NO APLICA",MAX(CEILING(($O176*(1-Configuración!$B$2))/Configuración!$B$3,Configuración!$B$6),Configuración!$B$5))</f>
        <v>250</v>
      </c>
      <c r="R176" s="20">
        <f>IF($Q176="NO APLICA","NO APLICA",$Q176*Configuración!$B$3)</f>
        <v>2000</v>
      </c>
      <c r="S176" s="19" t="str">
        <f>IF($O176&lt;Configuración!$B$8,"NO","SI")</f>
        <v>NO</v>
      </c>
      <c r="T176" s="20" t="str">
        <f>IF($S176="NO","NO APLICA",MAX(CEILING(($O176*(1-Configuración!$B$2))/Configuración!$B$4,Configuración!$B$6),Configuración!$B$5))</f>
        <v>NO APLICA</v>
      </c>
      <c r="U176" s="20" t="str">
        <f>IF($T176="NO APLICA","NO APLICA",$T176*Configuración!$B$4)</f>
        <v>NO APLICA</v>
      </c>
      <c r="V176" s="20">
        <f>MAX(CEILING($O176/Configuración!$B$9,Configuración!$B$6),Configuración!$B$5)</f>
        <v>100</v>
      </c>
      <c r="W176" s="19" t="s">
        <v>277</v>
      </c>
      <c r="X176" s="33">
        <v>46079</v>
      </c>
      <c r="Y176" s="17"/>
    </row>
    <row r="177" spans="1:25" ht="15.6" x14ac:dyDescent="0.3">
      <c r="A177" s="19" t="str">
        <f>IF(OR(E177="",F177="",G177=""),"",E177&amp;"-"&amp;F177&amp;"-"&amp;G177&amp;"-"&amp;TEXT(COUNTIFS($E$2:E177,E177,$F$2:F177,F177,$G$2:G177,G177),"000"))</f>
        <v>COC-ARR-ACI-003</v>
      </c>
      <c r="B177" s="19" t="s">
        <v>18</v>
      </c>
      <c r="C177" s="19" t="s">
        <v>373</v>
      </c>
      <c r="D177" s="19" t="s">
        <v>94</v>
      </c>
      <c r="E177" s="19" t="str">
        <f>_xlfn.XLOOKUP(B177,Configuración!A:A,Configuración!B:B,"")</f>
        <v>COC</v>
      </c>
      <c r="F177" s="19" t="str" cm="1">
        <f t="array" ref="F177">IF($C177="","",_xlfn.XLOOKUP(1,(Configuración!D:D=$B177)*(Configuración!E:E=$C177),Configuración!F:F,""))</f>
        <v>ARR</v>
      </c>
      <c r="G177" s="19" t="str">
        <f>IF($D177="","",_xlfn.XLOOKUP($D177,Configuración!H:H,Configuración!I:I,""))</f>
        <v>ACI</v>
      </c>
      <c r="H177" s="19" t="s">
        <v>46</v>
      </c>
      <c r="I177" s="19" t="s">
        <v>46</v>
      </c>
      <c r="J177" s="19" t="s">
        <v>47</v>
      </c>
      <c r="K177" s="19" t="s">
        <v>498</v>
      </c>
      <c r="L177" s="20">
        <v>2880</v>
      </c>
      <c r="M177" s="20">
        <f t="shared" si="10"/>
        <v>720</v>
      </c>
      <c r="N177" s="20">
        <f t="shared" si="11"/>
        <v>2880</v>
      </c>
      <c r="O177" s="20">
        <v>3600</v>
      </c>
      <c r="P177" s="19" t="str">
        <f>IF($O177&lt;Configuración!$B$7,"NO","SI")</f>
        <v>SI</v>
      </c>
      <c r="Q177" s="20">
        <f>IF($P177="NO","NO APLICA",MAX(CEILING(($O177*(1-Configuración!$B$2))/Configuración!$B$3,Configuración!$B$6),Configuración!$B$5))</f>
        <v>360</v>
      </c>
      <c r="R177" s="20">
        <f>IF($Q177="NO APLICA","NO APLICA",$Q177*Configuración!$B$3)</f>
        <v>2880</v>
      </c>
      <c r="S177" s="19" t="str">
        <f>IF($O177&lt;Configuración!$B$8,"NO","SI")</f>
        <v>SI</v>
      </c>
      <c r="T177" s="20">
        <f>IF($S177="NO","NO APLICA",MAX(CEILING(($O177*(1-Configuración!$B$2))/Configuración!$B$4,Configuración!$B$6),Configuración!$B$5))</f>
        <v>240</v>
      </c>
      <c r="U177" s="20">
        <f>IF($T177="NO APLICA","NO APLICA",$T177*Configuración!$B$4)</f>
        <v>2880</v>
      </c>
      <c r="V177" s="20">
        <f>MAX(CEILING($O177/Configuración!$B$9,Configuración!$B$6),Configuración!$B$5)</f>
        <v>100</v>
      </c>
      <c r="W177" s="19" t="s">
        <v>277</v>
      </c>
      <c r="X177" s="33">
        <v>46079</v>
      </c>
      <c r="Y177" s="17"/>
    </row>
    <row r="178" spans="1:25" ht="15.6" x14ac:dyDescent="0.3">
      <c r="A178" s="19" t="str">
        <f>IF(OR(E178="",F178="",G178=""),"",E178&amp;"-"&amp;F178&amp;"-"&amp;G178&amp;"-"&amp;TEXT(COUNTIFS($E$2:E178,E178,$F$2:F178,F178,$G$2:G178,G178),"000"))</f>
        <v>COC-VAP-TF-001</v>
      </c>
      <c r="B178" s="19" t="s">
        <v>18</v>
      </c>
      <c r="C178" s="19" t="s">
        <v>310</v>
      </c>
      <c r="D178" s="19" t="s">
        <v>365</v>
      </c>
      <c r="E178" s="19" t="str">
        <f>_xlfn.XLOOKUP(B178,Configuración!A:A,Configuración!B:B,"")</f>
        <v>COC</v>
      </c>
      <c r="F178" s="19" t="str" cm="1">
        <f t="array" ref="F178">IF($C178="","",_xlfn.XLOOKUP(1,(Configuración!D:D=$B178)*(Configuración!E:E=$C178),Configuración!F:F,""))</f>
        <v>VAP</v>
      </c>
      <c r="G178" s="19" t="str">
        <f>IF($D178="","",_xlfn.XLOOKUP($D178,Configuración!H:H,Configuración!I:I,""))</f>
        <v>TF</v>
      </c>
      <c r="H178" s="19" t="s">
        <v>362</v>
      </c>
      <c r="I178" s="19" t="s">
        <v>423</v>
      </c>
      <c r="J178" s="19" t="s">
        <v>34</v>
      </c>
      <c r="K178" s="19" t="s">
        <v>498</v>
      </c>
      <c r="L178" s="20">
        <v>4200</v>
      </c>
      <c r="M178" s="20">
        <f t="shared" si="10"/>
        <v>1050</v>
      </c>
      <c r="N178" s="20">
        <f t="shared" si="11"/>
        <v>4200</v>
      </c>
      <c r="O178" s="20">
        <v>6000</v>
      </c>
      <c r="P178" s="19" t="str">
        <f>IF($O178&lt;Configuración!$B$7,"NO","SI")</f>
        <v>SI</v>
      </c>
      <c r="Q178" s="20">
        <f>IF($P178="NO","NO APLICA",MAX(CEILING(($O178*(1-Configuración!$B$2))/Configuración!$B$3,Configuración!$B$6),Configuración!$B$5))</f>
        <v>600</v>
      </c>
      <c r="R178" s="20">
        <f>IF($Q178="NO APLICA","NO APLICA",$Q178*Configuración!$B$3)</f>
        <v>4800</v>
      </c>
      <c r="S178" s="19" t="str">
        <f>IF($O178&lt;Configuración!$B$8,"NO","SI")</f>
        <v>SI</v>
      </c>
      <c r="T178" s="20">
        <f>IF($S178="NO","NO APLICA",MAX(CEILING(($O178*(1-Configuración!$B$2))/Configuración!$B$4,Configuración!$B$6),Configuración!$B$5))</f>
        <v>400</v>
      </c>
      <c r="U178" s="20">
        <f>IF($T178="NO APLICA","NO APLICA",$T178*Configuración!$B$4)</f>
        <v>4800</v>
      </c>
      <c r="V178" s="20">
        <f>MAX(CEILING($O178/Configuración!$B$9,Configuración!$B$6),Configuración!$B$5)</f>
        <v>120</v>
      </c>
      <c r="W178" s="19" t="s">
        <v>277</v>
      </c>
      <c r="X178" s="33">
        <v>46080</v>
      </c>
      <c r="Y178" s="17"/>
    </row>
    <row r="179" spans="1:25" ht="15.6" x14ac:dyDescent="0.3">
      <c r="A179" s="19" t="str">
        <f>IF(OR(E179="",F179="",G179=""),"",E179&amp;"-"&amp;F179&amp;"-"&amp;G179&amp;"-"&amp;TEXT(COUNTIFS($E$2:E179,E179,$F$2:F179,F179,$G$2:G179,G179),"000"))</f>
        <v>COC-VAP-ALU-002</v>
      </c>
      <c r="B179" s="19" t="s">
        <v>18</v>
      </c>
      <c r="C179" s="19" t="s">
        <v>310</v>
      </c>
      <c r="D179" s="19" t="s">
        <v>358</v>
      </c>
      <c r="E179" s="19" t="str">
        <f>_xlfn.XLOOKUP(B179,Configuración!A:A,Configuración!B:B,"")</f>
        <v>COC</v>
      </c>
      <c r="F179" s="19" t="str" cm="1">
        <f t="array" ref="F179">IF($C179="","",_xlfn.XLOOKUP(1,(Configuración!D:D=$B179)*(Configuración!E:E=$C179),Configuración!F:F,""))</f>
        <v>VAP</v>
      </c>
      <c r="G179" s="19" t="str">
        <f>IF($D179="","",_xlfn.XLOOKUP($D179,Configuración!H:H,Configuración!I:I,""))</f>
        <v>ALU</v>
      </c>
      <c r="H179" s="19" t="s">
        <v>37</v>
      </c>
      <c r="I179" s="19" t="s">
        <v>436</v>
      </c>
      <c r="J179" s="19" t="s">
        <v>38</v>
      </c>
      <c r="K179" s="19" t="s">
        <v>498</v>
      </c>
      <c r="L179" s="20">
        <v>2800</v>
      </c>
      <c r="M179" s="20">
        <f t="shared" si="10"/>
        <v>700</v>
      </c>
      <c r="N179" s="20">
        <f t="shared" si="11"/>
        <v>2800</v>
      </c>
      <c r="O179" s="20">
        <v>4000</v>
      </c>
      <c r="P179" s="19" t="str">
        <f>IF($O179&lt;Configuración!$B$7,"NO","SI")</f>
        <v>SI</v>
      </c>
      <c r="Q179" s="20">
        <f>IF($P179="NO","NO APLICA",MAX(CEILING(($O179*(1-Configuración!$B$2))/Configuración!$B$3,Configuración!$B$6),Configuración!$B$5))</f>
        <v>400</v>
      </c>
      <c r="R179" s="20">
        <f>IF($Q179="NO APLICA","NO APLICA",$Q179*Configuración!$B$3)</f>
        <v>3200</v>
      </c>
      <c r="S179" s="19" t="str">
        <f>IF($O179&lt;Configuración!$B$8,"NO","SI")</f>
        <v>SI</v>
      </c>
      <c r="T179" s="20">
        <f>IF($S179="NO","NO APLICA",MAX(CEILING(($O179*(1-Configuración!$B$2))/Configuración!$B$4,Configuración!$B$6),Configuración!$B$5))</f>
        <v>270</v>
      </c>
      <c r="U179" s="20">
        <f>IF($T179="NO APLICA","NO APLICA",$T179*Configuración!$B$4)</f>
        <v>3240</v>
      </c>
      <c r="V179" s="20">
        <f>MAX(CEILING($O179/Configuración!$B$9,Configuración!$B$6),Configuración!$B$5)</f>
        <v>100</v>
      </c>
      <c r="W179" s="19" t="s">
        <v>277</v>
      </c>
      <c r="X179" s="33">
        <v>46079</v>
      </c>
      <c r="Y179" s="17"/>
    </row>
    <row r="180" spans="1:25" ht="15.6" x14ac:dyDescent="0.3">
      <c r="A180" s="19" t="str">
        <f>IF(OR(E180="",F180="",G180=""),"",E180&amp;"-"&amp;F180&amp;"-"&amp;G180&amp;"-"&amp;TEXT(COUNTIFS($E$2:E180,E180,$F$2:F180,F180,$G$2:G180,G180),"000"))</f>
        <v>COC-VAP-ALU-003</v>
      </c>
      <c r="B180" s="19" t="s">
        <v>18</v>
      </c>
      <c r="C180" s="19" t="s">
        <v>310</v>
      </c>
      <c r="D180" s="19" t="s">
        <v>358</v>
      </c>
      <c r="E180" s="19" t="str">
        <f>_xlfn.XLOOKUP(B180,Configuración!A:A,Configuración!B:B,"")</f>
        <v>COC</v>
      </c>
      <c r="F180" s="19" t="str" cm="1">
        <f t="array" ref="F180">IF($C180="","",_xlfn.XLOOKUP(1,(Configuración!D:D=$B180)*(Configuración!E:E=$C180),Configuración!F:F,""))</f>
        <v>VAP</v>
      </c>
      <c r="G180" s="19" t="str">
        <f>IF($D180="","",_xlfn.XLOOKUP($D180,Configuración!H:H,Configuración!I:I,""))</f>
        <v>ALU</v>
      </c>
      <c r="H180" s="19" t="s">
        <v>33</v>
      </c>
      <c r="I180" s="19" t="s">
        <v>432</v>
      </c>
      <c r="J180" s="19" t="s">
        <v>34</v>
      </c>
      <c r="K180" s="19" t="s">
        <v>498</v>
      </c>
      <c r="L180" s="20">
        <v>3500</v>
      </c>
      <c r="M180" s="20">
        <f t="shared" si="10"/>
        <v>880</v>
      </c>
      <c r="N180" s="20">
        <f t="shared" si="11"/>
        <v>3520</v>
      </c>
      <c r="O180" s="20">
        <v>5000</v>
      </c>
      <c r="P180" s="19" t="str">
        <f>IF($O180&lt;Configuración!$B$7,"NO","SI")</f>
        <v>SI</v>
      </c>
      <c r="Q180" s="20">
        <f>IF($P180="NO","NO APLICA",MAX(CEILING(($O180*(1-Configuración!$B$2))/Configuración!$B$3,Configuración!$B$6),Configuración!$B$5))</f>
        <v>500</v>
      </c>
      <c r="R180" s="20">
        <f>IF($Q180="NO APLICA","NO APLICA",$Q180*Configuración!$B$3)</f>
        <v>4000</v>
      </c>
      <c r="S180" s="19" t="str">
        <f>IF($O180&lt;Configuración!$B$8,"NO","SI")</f>
        <v>SI</v>
      </c>
      <c r="T180" s="20">
        <f>IF($S180="NO","NO APLICA",MAX(CEILING(($O180*(1-Configuración!$B$2))/Configuración!$B$4,Configuración!$B$6),Configuración!$B$5))</f>
        <v>340</v>
      </c>
      <c r="U180" s="20">
        <f>IF($T180="NO APLICA","NO APLICA",$T180*Configuración!$B$4)</f>
        <v>4080</v>
      </c>
      <c r="V180" s="20">
        <f>MAX(CEILING($O180/Configuración!$B$9,Configuración!$B$6),Configuración!$B$5)</f>
        <v>100</v>
      </c>
      <c r="W180" s="19" t="s">
        <v>277</v>
      </c>
      <c r="X180" s="33">
        <v>46079</v>
      </c>
      <c r="Y180" s="17"/>
    </row>
    <row r="181" spans="1:25" ht="15.6" x14ac:dyDescent="0.3">
      <c r="A181" s="19" t="str">
        <f>IF(OR(E181="",F181="",G181=""),"",E181&amp;"-"&amp;F181&amp;"-"&amp;G181&amp;"-"&amp;TEXT(COUNTIFS($E$2:E181,E181,$F$2:F181,F181,$G$2:G181,G181),"000"))</f>
        <v>COC-VAP-ALU-004</v>
      </c>
      <c r="B181" s="19" t="s">
        <v>18</v>
      </c>
      <c r="C181" s="19" t="s">
        <v>310</v>
      </c>
      <c r="D181" s="19" t="s">
        <v>358</v>
      </c>
      <c r="E181" s="19" t="str">
        <f>_xlfn.XLOOKUP(B181,Configuración!A:A,Configuración!B:B,"")</f>
        <v>COC</v>
      </c>
      <c r="F181" s="19" t="str" cm="1">
        <f t="array" ref="F181">IF($C181="","",_xlfn.XLOOKUP(1,(Configuración!D:D=$B181)*(Configuración!E:E=$C181),Configuración!F:F,""))</f>
        <v>VAP</v>
      </c>
      <c r="G181" s="19" t="str">
        <f>IF($D181="","",_xlfn.XLOOKUP($D181,Configuración!H:H,Configuración!I:I,""))</f>
        <v>ALU</v>
      </c>
      <c r="H181" s="19" t="s">
        <v>31</v>
      </c>
      <c r="I181" s="19" t="s">
        <v>363</v>
      </c>
      <c r="J181" s="19" t="s">
        <v>32</v>
      </c>
      <c r="K181" s="19" t="s">
        <v>498</v>
      </c>
      <c r="L181" s="20">
        <v>7630</v>
      </c>
      <c r="M181" s="20">
        <f t="shared" si="10"/>
        <v>1910</v>
      </c>
      <c r="N181" s="20">
        <f t="shared" si="11"/>
        <v>7640</v>
      </c>
      <c r="O181" s="20">
        <v>10900</v>
      </c>
      <c r="P181" s="19" t="str">
        <f>IF($O181&lt;Configuración!$B$7,"NO","SI")</f>
        <v>SI</v>
      </c>
      <c r="Q181" s="20">
        <f>IF($P181="NO","NO APLICA",MAX(CEILING(($O181*(1-Configuración!$B$2))/Configuración!$B$3,Configuración!$B$6),Configuración!$B$5))</f>
        <v>1090</v>
      </c>
      <c r="R181" s="20">
        <f>IF($Q181="NO APLICA","NO APLICA",$Q181*Configuración!$B$3)</f>
        <v>8720</v>
      </c>
      <c r="S181" s="19" t="str">
        <f>IF($O181&lt;Configuración!$B$8,"NO","SI")</f>
        <v>SI</v>
      </c>
      <c r="T181" s="20">
        <f>IF($S181="NO","NO APLICA",MAX(CEILING(($O181*(1-Configuración!$B$2))/Configuración!$B$4,Configuración!$B$6),Configuración!$B$5))</f>
        <v>730</v>
      </c>
      <c r="U181" s="20">
        <f>IF($T181="NO APLICA","NO APLICA",$T181*Configuración!$B$4)</f>
        <v>8760</v>
      </c>
      <c r="V181" s="20">
        <f>MAX(CEILING($O181/Configuración!$B$9,Configuración!$B$6),Configuración!$B$5)</f>
        <v>210</v>
      </c>
      <c r="W181" s="19" t="s">
        <v>277</v>
      </c>
      <c r="X181" s="33">
        <v>46079</v>
      </c>
      <c r="Y181" s="17"/>
    </row>
    <row r="182" spans="1:25" ht="15.6" x14ac:dyDescent="0.3">
      <c r="A182" s="19" t="str">
        <f>IF(OR(E182="",F182="",G182=""),"",E182&amp;"-"&amp;F182&amp;"-"&amp;G182&amp;"-"&amp;TEXT(COUNTIFS($E$2:E182,E182,$F$2:F182,F182,$G$2:G182,G182),"000"))</f>
        <v>COC-VAP-ALU-005</v>
      </c>
      <c r="B182" s="19" t="s">
        <v>18</v>
      </c>
      <c r="C182" s="19" t="s">
        <v>310</v>
      </c>
      <c r="D182" s="19" t="s">
        <v>358</v>
      </c>
      <c r="E182" s="19" t="str">
        <f>_xlfn.XLOOKUP(B182,Configuración!A:A,Configuración!B:B,"")</f>
        <v>COC</v>
      </c>
      <c r="F182" s="19" t="str" cm="1">
        <f t="array" ref="F182">IF($C182="","",_xlfn.XLOOKUP(1,(Configuración!D:D=$B182)*(Configuración!E:E=$C182),Configuración!F:F,""))</f>
        <v>VAP</v>
      </c>
      <c r="G182" s="19" t="str">
        <f>IF($D182="","",_xlfn.XLOOKUP($D182,Configuración!H:H,Configuración!I:I,""))</f>
        <v>ALU</v>
      </c>
      <c r="H182" s="19" t="s">
        <v>40</v>
      </c>
      <c r="I182" s="19" t="s">
        <v>438</v>
      </c>
      <c r="J182" s="19" t="s">
        <v>34</v>
      </c>
      <c r="K182" s="19" t="s">
        <v>498</v>
      </c>
      <c r="L182" s="20">
        <v>1440</v>
      </c>
      <c r="M182" s="20">
        <f t="shared" si="10"/>
        <v>360</v>
      </c>
      <c r="N182" s="20">
        <f t="shared" si="11"/>
        <v>1440</v>
      </c>
      <c r="O182" s="20">
        <v>1800</v>
      </c>
      <c r="P182" s="19" t="str">
        <f>IF($O182&lt;Configuración!$B$7,"NO","SI")</f>
        <v>NO</v>
      </c>
      <c r="Q182" s="20" t="str">
        <f>IF($P182="NO","NO APLICA",MAX(CEILING(($O182*(1-Configuración!$B$2))/Configuración!$B$3,Configuración!$B$6),Configuración!$B$5))</f>
        <v>NO APLICA</v>
      </c>
      <c r="R182" s="20" t="str">
        <f>IF($Q182="NO APLICA","NO APLICA",$Q182*Configuración!$B$3)</f>
        <v>NO APLICA</v>
      </c>
      <c r="S182" s="19" t="str">
        <f>IF($O182&lt;Configuración!$B$8,"NO","SI")</f>
        <v>NO</v>
      </c>
      <c r="T182" s="20" t="str">
        <f>IF($S182="NO","NO APLICA",MAX(CEILING(($O182*(1-Configuración!$B$2))/Configuración!$B$4,Configuración!$B$6),Configuración!$B$5))</f>
        <v>NO APLICA</v>
      </c>
      <c r="U182" s="20" t="str">
        <f>IF($T182="NO APLICA","NO APLICA",$T182*Configuración!$B$4)</f>
        <v>NO APLICA</v>
      </c>
      <c r="V182" s="20">
        <f>MAX(CEILING($O182/Configuración!$B$9,Configuración!$B$6),Configuración!$B$5)</f>
        <v>100</v>
      </c>
      <c r="W182" s="19" t="s">
        <v>277</v>
      </c>
      <c r="X182" s="33">
        <v>46079</v>
      </c>
      <c r="Y182" s="17"/>
    </row>
    <row r="183" spans="1:25" ht="15.6" x14ac:dyDescent="0.3">
      <c r="A183" s="19" t="str">
        <f>IF(OR(E183="",F183="",G183=""),"",E183&amp;"-"&amp;F183&amp;"-"&amp;G183&amp;"-"&amp;TEXT(COUNTIFS($E$2:E183,E183,$F$2:F183,F183,$G$2:G183,G183),"000"))</f>
        <v>COC-VAP-ALU-006</v>
      </c>
      <c r="B183" s="19" t="s">
        <v>18</v>
      </c>
      <c r="C183" s="19" t="s">
        <v>310</v>
      </c>
      <c r="D183" s="19" t="s">
        <v>358</v>
      </c>
      <c r="E183" s="19" t="str">
        <f>_xlfn.XLOOKUP(B183,Configuración!A:A,Configuración!B:B,"")</f>
        <v>COC</v>
      </c>
      <c r="F183" s="19" t="str" cm="1">
        <f t="array" ref="F183">IF($C183="","",_xlfn.XLOOKUP(1,(Configuración!D:D=$B183)*(Configuración!E:E=$C183),Configuración!F:F,""))</f>
        <v>VAP</v>
      </c>
      <c r="G183" s="19" t="str">
        <f>IF($D183="","",_xlfn.XLOOKUP($D183,Configuración!H:H,Configuración!I:I,""))</f>
        <v>ALU</v>
      </c>
      <c r="H183" s="19" t="s">
        <v>39</v>
      </c>
      <c r="I183" s="19" t="s">
        <v>437</v>
      </c>
      <c r="J183" s="19" t="s">
        <v>32</v>
      </c>
      <c r="K183" s="19" t="s">
        <v>498</v>
      </c>
      <c r="L183" s="20">
        <v>1750</v>
      </c>
      <c r="M183" s="20">
        <f t="shared" si="10"/>
        <v>440</v>
      </c>
      <c r="N183" s="20">
        <f t="shared" si="11"/>
        <v>1760</v>
      </c>
      <c r="O183" s="20">
        <v>2500</v>
      </c>
      <c r="P183" s="19" t="str">
        <f>IF($O183&lt;Configuración!$B$7,"NO","SI")</f>
        <v>SI</v>
      </c>
      <c r="Q183" s="20">
        <f>IF($P183="NO","NO APLICA",MAX(CEILING(($O183*(1-Configuración!$B$2))/Configuración!$B$3,Configuración!$B$6),Configuración!$B$5))</f>
        <v>250</v>
      </c>
      <c r="R183" s="20">
        <f>IF($Q183="NO APLICA","NO APLICA",$Q183*Configuración!$B$3)</f>
        <v>2000</v>
      </c>
      <c r="S183" s="19" t="str">
        <f>IF($O183&lt;Configuración!$B$8,"NO","SI")</f>
        <v>NO</v>
      </c>
      <c r="T183" s="20" t="str">
        <f>IF($S183="NO","NO APLICA",MAX(CEILING(($O183*(1-Configuración!$B$2))/Configuración!$B$4,Configuración!$B$6),Configuración!$B$5))</f>
        <v>NO APLICA</v>
      </c>
      <c r="U183" s="20" t="str">
        <f>IF($T183="NO APLICA","NO APLICA",$T183*Configuración!$B$4)</f>
        <v>NO APLICA</v>
      </c>
      <c r="V183" s="20">
        <f>MAX(CEILING($O183/Configuración!$B$9,Configuración!$B$6),Configuración!$B$5)</f>
        <v>100</v>
      </c>
      <c r="W183" s="19" t="s">
        <v>277</v>
      </c>
      <c r="X183" s="33">
        <v>46079</v>
      </c>
      <c r="Y183" s="17"/>
    </row>
    <row r="184" spans="1:25" ht="15.6" x14ac:dyDescent="0.3">
      <c r="A184" s="19" t="str">
        <f>IF(OR(E184="",F184="",G184=""),"",E184&amp;"-"&amp;F184&amp;"-"&amp;G184&amp;"-"&amp;TEXT(COUNTIFS($E$2:E184,E184,$F$2:F184,F184,$G$2:G184,G184),"000"))</f>
        <v>COC-VAP-ALU-007</v>
      </c>
      <c r="B184" s="19" t="s">
        <v>18</v>
      </c>
      <c r="C184" s="19" t="s">
        <v>310</v>
      </c>
      <c r="D184" s="19" t="s">
        <v>358</v>
      </c>
      <c r="E184" s="19" t="str">
        <f>_xlfn.XLOOKUP(B184,Configuración!A:A,Configuración!B:B,"")</f>
        <v>COC</v>
      </c>
      <c r="F184" s="19" t="str" cm="1">
        <f t="array" ref="F184">IF($C184="","",_xlfn.XLOOKUP(1,(Configuración!D:D=$B184)*(Configuración!E:E=$C184),Configuración!F:F,""))</f>
        <v>VAP</v>
      </c>
      <c r="G184" s="19" t="str">
        <f>IF($D184="","",_xlfn.XLOOKUP($D184,Configuración!H:H,Configuración!I:I,""))</f>
        <v>ALU</v>
      </c>
      <c r="H184" s="19" t="s">
        <v>36</v>
      </c>
      <c r="I184" s="19" t="s">
        <v>435</v>
      </c>
      <c r="J184" s="19" t="s">
        <v>32</v>
      </c>
      <c r="K184" s="19" t="s">
        <v>498</v>
      </c>
      <c r="L184" s="20">
        <v>2310</v>
      </c>
      <c r="M184" s="20">
        <f t="shared" si="10"/>
        <v>580</v>
      </c>
      <c r="N184" s="20">
        <f t="shared" si="11"/>
        <v>2320</v>
      </c>
      <c r="O184" s="20">
        <v>3300</v>
      </c>
      <c r="P184" s="19" t="str">
        <f>IF($O184&lt;Configuración!$B$7,"NO","SI")</f>
        <v>SI</v>
      </c>
      <c r="Q184" s="20">
        <f>IF($P184="NO","NO APLICA",MAX(CEILING(($O184*(1-Configuración!$B$2))/Configuración!$B$3,Configuración!$B$6),Configuración!$B$5))</f>
        <v>330</v>
      </c>
      <c r="R184" s="20">
        <f>IF($Q184="NO APLICA","NO APLICA",$Q184*Configuración!$B$3)</f>
        <v>2640</v>
      </c>
      <c r="S184" s="19" t="str">
        <f>IF($O184&lt;Configuración!$B$8,"NO","SI")</f>
        <v>SI</v>
      </c>
      <c r="T184" s="20">
        <f>IF($S184="NO","NO APLICA",MAX(CEILING(($O184*(1-Configuración!$B$2))/Configuración!$B$4,Configuración!$B$6),Configuración!$B$5))</f>
        <v>220</v>
      </c>
      <c r="U184" s="20">
        <f>IF($T184="NO APLICA","NO APLICA",$T184*Configuración!$B$4)</f>
        <v>2640</v>
      </c>
      <c r="V184" s="20">
        <f>MAX(CEILING($O184/Configuración!$B$9,Configuración!$B$6),Configuración!$B$5)</f>
        <v>100</v>
      </c>
      <c r="W184" s="19" t="s">
        <v>277</v>
      </c>
      <c r="X184" s="33">
        <v>46079</v>
      </c>
      <c r="Y184" s="17"/>
    </row>
    <row r="185" spans="1:25" ht="15.6" x14ac:dyDescent="0.3">
      <c r="A185" s="19" t="str">
        <f>IF(OR(E185="",F185="",G185=""),"",E185&amp;"-"&amp;F185&amp;"-"&amp;G185&amp;"-"&amp;TEXT(COUNTIFS($E$2:E185,E185,$F$2:F185,F185,$G$2:G185,G185),"000"))</f>
        <v>COC-VAP-ALU-008</v>
      </c>
      <c r="B185" s="19" t="s">
        <v>18</v>
      </c>
      <c r="C185" s="19" t="s">
        <v>310</v>
      </c>
      <c r="D185" s="19" t="s">
        <v>358</v>
      </c>
      <c r="E185" s="19" t="str">
        <f>_xlfn.XLOOKUP(B185,Configuración!A:A,Configuración!B:B,"")</f>
        <v>COC</v>
      </c>
      <c r="F185" s="19" t="str" cm="1">
        <f t="array" ref="F185">IF($C185="","",_xlfn.XLOOKUP(1,(Configuración!D:D=$B185)*(Configuración!E:E=$C185),Configuración!F:F,""))</f>
        <v>VAP</v>
      </c>
      <c r="G185" s="19" t="str">
        <f>IF($D185="","",_xlfn.XLOOKUP($D185,Configuración!H:H,Configuración!I:I,""))</f>
        <v>ALU</v>
      </c>
      <c r="H185" s="19" t="s">
        <v>434</v>
      </c>
      <c r="I185" s="19" t="s">
        <v>433</v>
      </c>
      <c r="J185" s="19" t="s">
        <v>32</v>
      </c>
      <c r="K185" s="19" t="s">
        <v>498</v>
      </c>
      <c r="L185" s="20">
        <v>2800</v>
      </c>
      <c r="M185" s="20">
        <f t="shared" si="10"/>
        <v>700</v>
      </c>
      <c r="N185" s="20">
        <f t="shared" si="11"/>
        <v>2800</v>
      </c>
      <c r="O185" s="20">
        <v>4000</v>
      </c>
      <c r="P185" s="19" t="str">
        <f>IF($O185&lt;Configuración!$B$7,"NO","SI")</f>
        <v>SI</v>
      </c>
      <c r="Q185" s="20">
        <f>IF($P185="NO","NO APLICA",MAX(CEILING(($O185*(1-Configuración!$B$2))/Configuración!$B$3,Configuración!$B$6),Configuración!$B$5))</f>
        <v>400</v>
      </c>
      <c r="R185" s="20">
        <f>IF($Q185="NO APLICA","NO APLICA",$Q185*Configuración!$B$3)</f>
        <v>3200</v>
      </c>
      <c r="S185" s="19" t="str">
        <f>IF($O185&lt;Configuración!$B$8,"NO","SI")</f>
        <v>SI</v>
      </c>
      <c r="T185" s="20">
        <f>IF($S185="NO","NO APLICA",MAX(CEILING(($O185*(1-Configuración!$B$2))/Configuración!$B$4,Configuración!$B$6),Configuración!$B$5))</f>
        <v>270</v>
      </c>
      <c r="U185" s="20">
        <f>IF($T185="NO APLICA","NO APLICA",$T185*Configuración!$B$4)</f>
        <v>3240</v>
      </c>
      <c r="V185" s="20">
        <f>MAX(CEILING($O185/Configuración!$B$9,Configuración!$B$6),Configuración!$B$5)</f>
        <v>100</v>
      </c>
      <c r="W185" s="19" t="s">
        <v>277</v>
      </c>
      <c r="X185" s="33">
        <v>46079</v>
      </c>
      <c r="Y185" s="17"/>
    </row>
    <row r="186" spans="1:25" ht="15.6" x14ac:dyDescent="0.3">
      <c r="A186" s="19" t="str">
        <f>IF(OR(E186="",F186="",G186=""),"",E186&amp;"-"&amp;F186&amp;"-"&amp;G186&amp;"-"&amp;TEXT(COUNTIFS($E$2:E186,E186,$F$2:F186,F186,$G$2:G186,G186),"000"))</f>
        <v>COC-VAP-ACI-002</v>
      </c>
      <c r="B186" s="19" t="s">
        <v>18</v>
      </c>
      <c r="C186" s="19" t="s">
        <v>310</v>
      </c>
      <c r="D186" s="19" t="s">
        <v>94</v>
      </c>
      <c r="E186" s="19" t="str">
        <f>_xlfn.XLOOKUP(B186,Configuración!A:A,Configuración!B:B,"")</f>
        <v>COC</v>
      </c>
      <c r="F186" s="19" t="str" cm="1">
        <f t="array" ref="F186">IF($C186="","",_xlfn.XLOOKUP(1,(Configuración!D:D=$B186)*(Configuración!E:E=$C186),Configuración!F:F,""))</f>
        <v>VAP</v>
      </c>
      <c r="G186" s="19" t="str">
        <f>IF($D186="","",_xlfn.XLOOKUP($D186,Configuración!H:H,Configuración!I:I,""))</f>
        <v>ACI</v>
      </c>
      <c r="H186" s="19" t="s">
        <v>101</v>
      </c>
      <c r="I186" s="19" t="s">
        <v>101</v>
      </c>
      <c r="J186" s="19" t="s">
        <v>96</v>
      </c>
      <c r="K186" s="19" t="s">
        <v>498</v>
      </c>
      <c r="L186" s="20">
        <v>1765</v>
      </c>
      <c r="M186" s="20">
        <f t="shared" si="10"/>
        <v>450</v>
      </c>
      <c r="N186" s="20">
        <f t="shared" si="11"/>
        <v>1800</v>
      </c>
      <c r="O186" s="20">
        <v>2520</v>
      </c>
      <c r="P186" s="19" t="str">
        <f>IF($O186&lt;Configuración!$B$7,"NO","SI")</f>
        <v>SI</v>
      </c>
      <c r="Q186" s="20">
        <f>IF($P186="NO","NO APLICA",MAX(CEILING(($O186*(1-Configuración!$B$2))/Configuración!$B$3,Configuración!$B$6),Configuración!$B$5))</f>
        <v>260</v>
      </c>
      <c r="R186" s="20">
        <f>IF($Q186="NO APLICA","NO APLICA",$Q186*Configuración!$B$3)</f>
        <v>2080</v>
      </c>
      <c r="S186" s="19" t="str">
        <f>IF($O186&lt;Configuración!$B$8,"NO","SI")</f>
        <v>NO</v>
      </c>
      <c r="T186" s="20" t="str">
        <f>IF($S186="NO","NO APLICA",MAX(CEILING(($O186*(1-Configuración!$B$2))/Configuración!$B$4,Configuración!$B$6),Configuración!$B$5))</f>
        <v>NO APLICA</v>
      </c>
      <c r="U186" s="20" t="str">
        <f>IF($T186="NO APLICA","NO APLICA",$T186*Configuración!$B$4)</f>
        <v>NO APLICA</v>
      </c>
      <c r="V186" s="20">
        <f>MAX(CEILING($O186/Configuración!$B$9,Configuración!$B$6),Configuración!$B$5)</f>
        <v>100</v>
      </c>
      <c r="W186" s="19" t="s">
        <v>277</v>
      </c>
      <c r="X186" s="33">
        <v>46079</v>
      </c>
      <c r="Y186" s="17"/>
    </row>
    <row r="187" spans="1:25" ht="15.6" x14ac:dyDescent="0.3">
      <c r="A187" s="19" t="str">
        <f>IF(OR(E187="",F187="",G187=""),"",E187&amp;"-"&amp;F187&amp;"-"&amp;G187&amp;"-"&amp;TEXT(COUNTIFS($E$2:E187,E187,$F$2:F187,F187,$G$2:G187,G187),"000"))</f>
        <v>COC-VAP-ACI-003</v>
      </c>
      <c r="B187" s="19" t="s">
        <v>18</v>
      </c>
      <c r="C187" s="19" t="s">
        <v>310</v>
      </c>
      <c r="D187" s="19" t="s">
        <v>94</v>
      </c>
      <c r="E187" s="19" t="str">
        <f>_xlfn.XLOOKUP(B187,Configuración!A:A,Configuración!B:B,"")</f>
        <v>COC</v>
      </c>
      <c r="F187" s="19" t="str" cm="1">
        <f t="array" ref="F187">IF($C187="","",_xlfn.XLOOKUP(1,(Configuración!D:D=$B187)*(Configuración!E:E=$C187),Configuración!F:F,""))</f>
        <v>VAP</v>
      </c>
      <c r="G187" s="19" t="str">
        <f>IF($D187="","",_xlfn.XLOOKUP($D187,Configuración!H:H,Configuración!I:I,""))</f>
        <v>ACI</v>
      </c>
      <c r="H187" s="19" t="s">
        <v>100</v>
      </c>
      <c r="I187" s="19" t="s">
        <v>100</v>
      </c>
      <c r="J187" s="19" t="s">
        <v>96</v>
      </c>
      <c r="K187" s="19" t="s">
        <v>498</v>
      </c>
      <c r="L187" s="20">
        <v>1890</v>
      </c>
      <c r="M187" s="20">
        <f t="shared" si="10"/>
        <v>480</v>
      </c>
      <c r="N187" s="20">
        <f t="shared" si="11"/>
        <v>1920</v>
      </c>
      <c r="O187" s="20">
        <v>2700</v>
      </c>
      <c r="P187" s="19" t="str">
        <f>IF($O187&lt;Configuración!$B$7,"NO","SI")</f>
        <v>SI</v>
      </c>
      <c r="Q187" s="20">
        <f>IF($P187="NO","NO APLICA",MAX(CEILING(($O187*(1-Configuración!$B$2))/Configuración!$B$3,Configuración!$B$6),Configuración!$B$5))</f>
        <v>270</v>
      </c>
      <c r="R187" s="20">
        <f>IF($Q187="NO APLICA","NO APLICA",$Q187*Configuración!$B$3)</f>
        <v>2160</v>
      </c>
      <c r="S187" s="19" t="str">
        <f>IF($O187&lt;Configuración!$B$8,"NO","SI")</f>
        <v>NO</v>
      </c>
      <c r="T187" s="20" t="str">
        <f>IF($S187="NO","NO APLICA",MAX(CEILING(($O187*(1-Configuración!$B$2))/Configuración!$B$4,Configuración!$B$6),Configuración!$B$5))</f>
        <v>NO APLICA</v>
      </c>
      <c r="U187" s="20" t="str">
        <f>IF($T187="NO APLICA","NO APLICA",$T187*Configuración!$B$4)</f>
        <v>NO APLICA</v>
      </c>
      <c r="V187" s="20">
        <f>MAX(CEILING($O187/Configuración!$B$9,Configuración!$B$6),Configuración!$B$5)</f>
        <v>100</v>
      </c>
      <c r="W187" s="19" t="s">
        <v>277</v>
      </c>
      <c r="X187" s="33">
        <v>46079</v>
      </c>
      <c r="Y187" s="17"/>
    </row>
    <row r="188" spans="1:25" ht="15.6" x14ac:dyDescent="0.3">
      <c r="A188" s="19" t="str">
        <f>IF(OR(E188="",F188="",G188=""),"",E188&amp;"-"&amp;F188&amp;"-"&amp;G188&amp;"-"&amp;TEXT(COUNTIFS($E$2:E188,E188,$F$2:F188,F188,$G$2:G188,G188),"000"))</f>
        <v>COC-VAP-ACI-004</v>
      </c>
      <c r="B188" s="19" t="s">
        <v>18</v>
      </c>
      <c r="C188" s="19" t="s">
        <v>310</v>
      </c>
      <c r="D188" s="19" t="s">
        <v>94</v>
      </c>
      <c r="E188" s="19" t="str">
        <f>_xlfn.XLOOKUP(B188,Configuración!A:A,Configuración!B:B,"")</f>
        <v>COC</v>
      </c>
      <c r="F188" s="19" t="str" cm="1">
        <f t="array" ref="F188">IF($C188="","",_xlfn.XLOOKUP(1,(Configuración!D:D=$B188)*(Configuración!E:E=$C188),Configuración!F:F,""))</f>
        <v>VAP</v>
      </c>
      <c r="G188" s="19" t="str">
        <f>IF($D188="","",_xlfn.XLOOKUP($D188,Configuración!H:H,Configuración!I:I,""))</f>
        <v>ACI</v>
      </c>
      <c r="H188" s="19" t="s">
        <v>99</v>
      </c>
      <c r="I188" s="19" t="s">
        <v>99</v>
      </c>
      <c r="J188" s="19" t="s">
        <v>96</v>
      </c>
      <c r="K188" s="19" t="s">
        <v>498</v>
      </c>
      <c r="L188" s="20">
        <v>2180</v>
      </c>
      <c r="M188" s="20">
        <f t="shared" si="10"/>
        <v>550</v>
      </c>
      <c r="N188" s="20">
        <f t="shared" si="11"/>
        <v>2200</v>
      </c>
      <c r="O188" s="20">
        <v>3120</v>
      </c>
      <c r="P188" s="19" t="str">
        <f>IF($O188&lt;Configuración!$B$7,"NO","SI")</f>
        <v>SI</v>
      </c>
      <c r="Q188" s="20">
        <f>IF($P188="NO","NO APLICA",MAX(CEILING(($O188*(1-Configuración!$B$2))/Configuración!$B$3,Configuración!$B$6),Configuración!$B$5))</f>
        <v>320</v>
      </c>
      <c r="R188" s="20">
        <f>IF($Q188="NO APLICA","NO APLICA",$Q188*Configuración!$B$3)</f>
        <v>2560</v>
      </c>
      <c r="S188" s="19" t="str">
        <f>IF($O188&lt;Configuración!$B$8,"NO","SI")</f>
        <v>SI</v>
      </c>
      <c r="T188" s="20">
        <f>IF($S188="NO","NO APLICA",MAX(CEILING(($O188*(1-Configuración!$B$2))/Configuración!$B$4,Configuración!$B$6),Configuración!$B$5))</f>
        <v>210</v>
      </c>
      <c r="U188" s="20">
        <f>IF($T188="NO APLICA","NO APLICA",$T188*Configuración!$B$4)</f>
        <v>2520</v>
      </c>
      <c r="V188" s="20">
        <f>MAX(CEILING($O188/Configuración!$B$9,Configuración!$B$6),Configuración!$B$5)</f>
        <v>100</v>
      </c>
      <c r="W188" s="19" t="s">
        <v>277</v>
      </c>
      <c r="X188" s="33">
        <v>46079</v>
      </c>
      <c r="Y188" s="17"/>
    </row>
    <row r="189" spans="1:25" ht="31.2" x14ac:dyDescent="0.3">
      <c r="A189" s="19" t="str">
        <f>IF(OR(E189="",F189="",G189=""),"",E189&amp;"-"&amp;F189&amp;"-"&amp;G189&amp;"-"&amp;TEXT(COUNTIFS($E$2:E189,E189,$F$2:F189,F189,$G$2:G189,G189),"000"))</f>
        <v>ELE-VEN-PSL-001</v>
      </c>
      <c r="B189" s="19" t="s">
        <v>20</v>
      </c>
      <c r="C189" s="19" t="s">
        <v>324</v>
      </c>
      <c r="D189" s="19" t="s">
        <v>328</v>
      </c>
      <c r="E189" s="19" t="str">
        <f>_xlfn.XLOOKUP(B189,Configuración!A:A,Configuración!B:B,"")</f>
        <v>ELE</v>
      </c>
      <c r="F189" s="19" t="str" cm="1">
        <f t="array" ref="F189">IF($C189="","",_xlfn.XLOOKUP(1,(Configuración!D:D=$B189)*(Configuración!E:E=$C189),Configuración!F:F,""))</f>
        <v>VEN</v>
      </c>
      <c r="G189" s="19" t="str">
        <f>IF($D189="","",_xlfn.XLOOKUP($D189,Configuración!H:H,Configuración!I:I,""))</f>
        <v>PSL</v>
      </c>
      <c r="H189" s="19" t="s">
        <v>107</v>
      </c>
      <c r="I189" s="19" t="s">
        <v>482</v>
      </c>
      <c r="J189" s="19" t="s">
        <v>108</v>
      </c>
      <c r="K189" s="19" t="s">
        <v>276</v>
      </c>
      <c r="L189" s="20">
        <v>2590</v>
      </c>
      <c r="M189" s="20">
        <f t="shared" si="10"/>
        <v>650</v>
      </c>
      <c r="N189" s="20">
        <f t="shared" si="11"/>
        <v>2600</v>
      </c>
      <c r="O189" s="20">
        <v>3700</v>
      </c>
      <c r="P189" s="19" t="str">
        <f>IF($O189&lt;Configuración!$B$7,"NO","SI")</f>
        <v>SI</v>
      </c>
      <c r="Q189" s="20">
        <f>IF($P189="NO","NO APLICA",MAX(CEILING(($O189*(1-Configuración!$B$2))/Configuración!$B$3,Configuración!$B$6),Configuración!$B$5))</f>
        <v>370</v>
      </c>
      <c r="R189" s="20">
        <f>IF($Q189="NO APLICA","NO APLICA",$Q189*Configuración!$B$3)</f>
        <v>2960</v>
      </c>
      <c r="S189" s="19" t="str">
        <f>IF($O189&lt;Configuración!$B$8,"NO","SI")</f>
        <v>SI</v>
      </c>
      <c r="T189" s="20">
        <f>IF($S189="NO","NO APLICA",MAX(CEILING(($O189*(1-Configuración!$B$2))/Configuración!$B$4,Configuración!$B$6),Configuración!$B$5))</f>
        <v>250</v>
      </c>
      <c r="U189" s="20">
        <f>IF($T189="NO APLICA","NO APLICA",$T189*Configuración!$B$4)</f>
        <v>3000</v>
      </c>
      <c r="V189" s="20">
        <f>MAX(CEILING($O189/Configuración!$B$9,Configuración!$B$6),Configuración!$B$5)</f>
        <v>100</v>
      </c>
      <c r="W189" s="19" t="s">
        <v>277</v>
      </c>
      <c r="X189" s="33">
        <v>46079</v>
      </c>
      <c r="Y189" s="17"/>
    </row>
    <row r="190" spans="1:25" ht="31.2" x14ac:dyDescent="0.3">
      <c r="A190" s="19" t="str">
        <f>IF(OR(E190="",F190="",G190=""),"",E190&amp;"-"&amp;F190&amp;"-"&amp;G190&amp;"-"&amp;TEXT(COUNTIFS($E$2:E190,E190,$F$2:F190,F190,$G$2:G190,G190),"000"))</f>
        <v>ELE-VEN-PSL-002</v>
      </c>
      <c r="B190" s="19" t="s">
        <v>20</v>
      </c>
      <c r="C190" s="19" t="s">
        <v>324</v>
      </c>
      <c r="D190" s="19" t="s">
        <v>328</v>
      </c>
      <c r="E190" s="19" t="str">
        <f>_xlfn.XLOOKUP(B190,Configuración!A:A,Configuración!B:B,"")</f>
        <v>ELE</v>
      </c>
      <c r="F190" s="19" t="str" cm="1">
        <f t="array" ref="F190">IF($C190="","",_xlfn.XLOOKUP(1,(Configuración!D:D=$B190)*(Configuración!E:E=$C190),Configuración!F:F,""))</f>
        <v>VEN</v>
      </c>
      <c r="G190" s="19" t="str">
        <f>IF($D190="","",_xlfn.XLOOKUP($D190,Configuración!H:H,Configuración!I:I,""))</f>
        <v>PSL</v>
      </c>
      <c r="H190" s="19" t="s">
        <v>110</v>
      </c>
      <c r="I190" s="19" t="s">
        <v>483</v>
      </c>
      <c r="J190" s="19" t="s">
        <v>111</v>
      </c>
      <c r="K190" s="19" t="s">
        <v>276</v>
      </c>
      <c r="L190" s="20">
        <v>2100</v>
      </c>
      <c r="M190" s="20">
        <f t="shared" si="10"/>
        <v>530</v>
      </c>
      <c r="N190" s="20">
        <f t="shared" si="11"/>
        <v>2120</v>
      </c>
      <c r="O190" s="20">
        <v>3000</v>
      </c>
      <c r="P190" s="19" t="str">
        <f>IF($O190&lt;Configuración!$B$7,"NO","SI")</f>
        <v>SI</v>
      </c>
      <c r="Q190" s="20">
        <f>IF($P190="NO","NO APLICA",MAX(CEILING(($O190*(1-Configuración!$B$2))/Configuración!$B$3,Configuración!$B$6),Configuración!$B$5))</f>
        <v>300</v>
      </c>
      <c r="R190" s="20">
        <f>IF($Q190="NO APLICA","NO APLICA",$Q190*Configuración!$B$3)</f>
        <v>2400</v>
      </c>
      <c r="S190" s="19" t="str">
        <f>IF($O190&lt;Configuración!$B$8,"NO","SI")</f>
        <v>SI</v>
      </c>
      <c r="T190" s="20">
        <f>IF($S190="NO","NO APLICA",MAX(CEILING(($O190*(1-Configuración!$B$2))/Configuración!$B$4,Configuración!$B$6),Configuración!$B$5))</f>
        <v>200</v>
      </c>
      <c r="U190" s="20">
        <f>IF($T190="NO APLICA","NO APLICA",$T190*Configuración!$B$4)</f>
        <v>2400</v>
      </c>
      <c r="V190" s="20">
        <f>MAX(CEILING($O190/Configuración!$B$9,Configuración!$B$6),Configuración!$B$5)</f>
        <v>100</v>
      </c>
      <c r="W190" s="19" t="s">
        <v>277</v>
      </c>
      <c r="X190" s="33">
        <v>46079</v>
      </c>
      <c r="Y190" s="17"/>
    </row>
    <row r="191" spans="1:25" ht="31.2" x14ac:dyDescent="0.3">
      <c r="A191" s="19" t="str">
        <f>IF(OR(E191="",F191="",G191=""),"",E191&amp;"-"&amp;F191&amp;"-"&amp;G191&amp;"-"&amp;TEXT(COUNTIFS($E$2:E191,E191,$F$2:F191,F191,$G$2:G191,G191),"000"))</f>
        <v>ELE-VEN-PSL-003</v>
      </c>
      <c r="B191" s="19" t="s">
        <v>20</v>
      </c>
      <c r="C191" s="19" t="s">
        <v>324</v>
      </c>
      <c r="D191" s="19" t="s">
        <v>328</v>
      </c>
      <c r="E191" s="19" t="str">
        <f>_xlfn.XLOOKUP(B191,Configuración!A:A,Configuración!B:B,"")</f>
        <v>ELE</v>
      </c>
      <c r="F191" s="19" t="str" cm="1">
        <f t="array" ref="F191">IF($C191="","",_xlfn.XLOOKUP(1,(Configuración!D:D=$B191)*(Configuración!E:E=$C191),Configuración!F:F,""))</f>
        <v>VEN</v>
      </c>
      <c r="G191" s="19" t="str">
        <f>IF($D191="","",_xlfn.XLOOKUP($D191,Configuración!H:H,Configuración!I:I,""))</f>
        <v>PSL</v>
      </c>
      <c r="H191" s="19" t="s">
        <v>110</v>
      </c>
      <c r="I191" s="19" t="s">
        <v>484</v>
      </c>
      <c r="J191" s="19" t="s">
        <v>112</v>
      </c>
      <c r="K191" s="19" t="s">
        <v>276</v>
      </c>
      <c r="L191" s="20">
        <v>2100</v>
      </c>
      <c r="M191" s="20">
        <f t="shared" si="10"/>
        <v>530</v>
      </c>
      <c r="N191" s="20">
        <f t="shared" si="11"/>
        <v>2120</v>
      </c>
      <c r="O191" s="20">
        <v>3000</v>
      </c>
      <c r="P191" s="19" t="str">
        <f>IF($O191&lt;Configuración!$B$7,"NO","SI")</f>
        <v>SI</v>
      </c>
      <c r="Q191" s="20">
        <f>IF($P191="NO","NO APLICA",MAX(CEILING(($O191*(1-Configuración!$B$2))/Configuración!$B$3,Configuración!$B$6),Configuración!$B$5))</f>
        <v>300</v>
      </c>
      <c r="R191" s="20">
        <f>IF($Q191="NO APLICA","NO APLICA",$Q191*Configuración!$B$3)</f>
        <v>2400</v>
      </c>
      <c r="S191" s="19" t="str">
        <f>IF($O191&lt;Configuración!$B$8,"NO","SI")</f>
        <v>SI</v>
      </c>
      <c r="T191" s="20">
        <f>IF($S191="NO","NO APLICA",MAX(CEILING(($O191*(1-Configuración!$B$2))/Configuración!$B$4,Configuración!$B$6),Configuración!$B$5))</f>
        <v>200</v>
      </c>
      <c r="U191" s="20">
        <f>IF($T191="NO APLICA","NO APLICA",$T191*Configuración!$B$4)</f>
        <v>2400</v>
      </c>
      <c r="V191" s="20">
        <f>MAX(CEILING($O191/Configuración!$B$9,Configuración!$B$6),Configuración!$B$5)</f>
        <v>100</v>
      </c>
      <c r="W191" s="19" t="s">
        <v>277</v>
      </c>
      <c r="X191" s="33">
        <v>46079</v>
      </c>
      <c r="Y191" s="17"/>
    </row>
    <row r="192" spans="1:25" ht="15.6" x14ac:dyDescent="0.3">
      <c r="A192" s="19" t="str">
        <f>IF(OR(E192="",F192="",G192=""),"",E192&amp;"-"&amp;F192&amp;"-"&amp;G192&amp;"-"&amp;TEXT(COUNTIFS($E$2:E192,E192,$F$2:F192,F192,$G$2:G192,G192),"000"))</f>
        <v>MOB-VER-TUB-001</v>
      </c>
      <c r="B192" s="19" t="s">
        <v>19</v>
      </c>
      <c r="C192" s="19" t="s">
        <v>399</v>
      </c>
      <c r="D192" s="19" t="s">
        <v>329</v>
      </c>
      <c r="E192" s="19" t="str">
        <f>_xlfn.XLOOKUP(B192,Configuración!A:A,Configuración!B:B,"")</f>
        <v>MOB</v>
      </c>
      <c r="F192" s="19" t="str" cm="1">
        <f t="array" ref="F192">IF($C192="","",_xlfn.XLOOKUP(1,(Configuración!D:D=$B192)*(Configuración!E:E=$C192),Configuración!F:F,""))</f>
        <v>VER</v>
      </c>
      <c r="G192" s="19" t="str">
        <f>IF($D192="","",_xlfn.XLOOKUP($D192,Configuración!H:H,Configuración!I:I,""))</f>
        <v>TUB</v>
      </c>
      <c r="H192" s="19" t="s">
        <v>178</v>
      </c>
      <c r="I192" s="19" t="s">
        <v>178</v>
      </c>
      <c r="J192" s="19" t="s">
        <v>156</v>
      </c>
      <c r="K192" s="19" t="s">
        <v>276</v>
      </c>
      <c r="L192" s="20">
        <v>1610</v>
      </c>
      <c r="M192" s="20">
        <f t="shared" si="10"/>
        <v>410</v>
      </c>
      <c r="N192" s="20">
        <f t="shared" si="11"/>
        <v>1640</v>
      </c>
      <c r="O192" s="20">
        <v>2300</v>
      </c>
      <c r="P192" s="19" t="str">
        <f>IF($O192&lt;Configuración!$B$7,"NO","SI")</f>
        <v>SI</v>
      </c>
      <c r="Q192" s="20">
        <f>IF($P192="NO","NO APLICA",MAX(CEILING(($O192*(1-Configuración!$B$2))/Configuración!$B$3,Configuración!$B$6),Configuración!$B$5))</f>
        <v>230</v>
      </c>
      <c r="R192" s="20">
        <f>IF($Q192="NO APLICA","NO APLICA",$Q192*Configuración!$B$3)</f>
        <v>1840</v>
      </c>
      <c r="S192" s="19" t="str">
        <f>IF($O192&lt;Configuración!$B$8,"NO","SI")</f>
        <v>NO</v>
      </c>
      <c r="T192" s="20" t="str">
        <f>IF($S192="NO","NO APLICA",MAX(CEILING(($O192*(1-Configuración!$B$2))/Configuración!$B$4,Configuración!$B$6),Configuración!$B$5))</f>
        <v>NO APLICA</v>
      </c>
      <c r="U192" s="20" t="str">
        <f>IF($T192="NO APLICA","NO APLICA",$T192*Configuración!$B$4)</f>
        <v>NO APLICA</v>
      </c>
      <c r="V192" s="20">
        <f>MAX(CEILING($O192/Configuración!$B$9,Configuración!$B$6),Configuración!$B$5)</f>
        <v>100</v>
      </c>
      <c r="W192" s="19" t="s">
        <v>277</v>
      </c>
      <c r="X192" s="33">
        <v>46079</v>
      </c>
      <c r="Y192" s="17"/>
    </row>
    <row r="193" spans="1:25" ht="15.6" x14ac:dyDescent="0.3">
      <c r="A193" s="19" t="str">
        <f>IF(OR(E193="",F193="",G193=""),"",E193&amp;"-"&amp;F193&amp;"-"&amp;G193&amp;"-"&amp;TEXT(COUNTIFS($E$2:E195,E193,$F$2:F195,F193,$G$2:G195,G193),"000"))</f>
        <v>MOB-ZAP-TUB-001</v>
      </c>
      <c r="B193" s="19" t="s">
        <v>19</v>
      </c>
      <c r="C193" s="19" t="s">
        <v>395</v>
      </c>
      <c r="D193" s="19" t="s">
        <v>329</v>
      </c>
      <c r="E193" s="19" t="str">
        <f>_xlfn.XLOOKUP(B193,Configuración!A:A,Configuración!B:B,"")</f>
        <v>MOB</v>
      </c>
      <c r="F193" s="19" t="str" cm="1">
        <f t="array" ref="F193">IF($C193="","",_xlfn.XLOOKUP(1,(Configuración!D:D=$B193)*(Configuración!E:E=$C193),Configuración!F:F,""))</f>
        <v>ZAP</v>
      </c>
      <c r="G193" s="19" t="str">
        <f>IF($D193="","",_xlfn.XLOOKUP($D193,Configuración!H:H,Configuración!I:I,""))</f>
        <v>TUB</v>
      </c>
      <c r="H193" s="19" t="s">
        <v>183</v>
      </c>
      <c r="I193" s="19" t="s">
        <v>183</v>
      </c>
      <c r="J193" s="19" t="s">
        <v>156</v>
      </c>
      <c r="K193" s="19" t="s">
        <v>276</v>
      </c>
      <c r="L193" s="20">
        <v>1960</v>
      </c>
      <c r="M193" s="20">
        <f t="shared" si="10"/>
        <v>490</v>
      </c>
      <c r="N193" s="20">
        <f t="shared" si="11"/>
        <v>1960</v>
      </c>
      <c r="O193" s="20">
        <v>2800</v>
      </c>
      <c r="P193" s="19" t="str">
        <f>IF($O193&lt;Configuración!$B$7,"NO","SI")</f>
        <v>SI</v>
      </c>
      <c r="Q193" s="20">
        <f>IF($P193="NO","NO APLICA",MAX(CEILING(($O193*(1-Configuración!$B$2))/Configuración!$B$3,Configuración!$B$6),Configuración!$B$5))</f>
        <v>280</v>
      </c>
      <c r="R193" s="20">
        <f>IF($Q193="NO APLICA","NO APLICA",$Q193*Configuración!$B$3)</f>
        <v>2240</v>
      </c>
      <c r="S193" s="19" t="str">
        <f>IF($O193&lt;Configuración!$B$8,"NO","SI")</f>
        <v>NO</v>
      </c>
      <c r="T193" s="20" t="str">
        <f>IF($S193="NO","NO APLICA",MAX(CEILING(($O193*(1-Configuración!$B$2))/Configuración!$B$4,Configuración!$B$6),Configuración!$B$5))</f>
        <v>NO APLICA</v>
      </c>
      <c r="U193" s="20" t="str">
        <f>IF($T193="NO APLICA","NO APLICA",$T193*Configuración!$B$4)</f>
        <v>NO APLICA</v>
      </c>
      <c r="V193" s="20">
        <f>MAX(CEILING($O193/Configuración!$B$9,Configuración!$B$6),Configuración!$B$5)</f>
        <v>100</v>
      </c>
      <c r="W193" s="19" t="s">
        <v>277</v>
      </c>
      <c r="X193" s="33">
        <v>46079</v>
      </c>
      <c r="Y193" s="17"/>
    </row>
  </sheetData>
  <phoneticPr fontId="14" type="noConversion"/>
  <conditionalFormatting sqref="A2:Y193 A192:W500">
    <cfRule type="expression" dxfId="0" priority="1">
      <formula>AND($B2&lt;&gt;"",OR($C2="",$D2="",$A2=""))</formula>
    </cfRule>
  </conditionalFormatting>
  <dataValidations count="3">
    <dataValidation type="list" allowBlank="1" showInputMessage="1" showErrorMessage="1" sqref="B2:B193" xr:uid="{ACFB240E-3FB0-4CFB-A577-14F12AEEC9DF}">
      <formula1>ListaCategorias</formula1>
    </dataValidation>
    <dataValidation type="list" allowBlank="1" showInputMessage="1" showErrorMessage="1" sqref="C2:C193" xr:uid="{0C3629D1-BC76-4720-9A8C-3DEA66968727}">
      <formula1>ListaSubcategorias</formula1>
    </dataValidation>
    <dataValidation type="list" allowBlank="1" showInputMessage="1" showErrorMessage="1" sqref="D2:E193" xr:uid="{060B3028-6D4F-4241-8197-A5D216B8B7BA}">
      <formula1>ListaMateriales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B4" sqref="B4"/>
    </sheetView>
  </sheetViews>
  <sheetFormatPr baseColWidth="10" defaultColWidth="8.88671875" defaultRowHeight="13.8" x14ac:dyDescent="0.3"/>
  <cols>
    <col min="1" max="1" width="28" customWidth="1"/>
    <col min="2" max="2" width="40" customWidth="1"/>
  </cols>
  <sheetData>
    <row r="1" spans="1:2" ht="14.4" customHeight="1" x14ac:dyDescent="0.35">
      <c r="A1" s="38" t="s">
        <v>278</v>
      </c>
      <c r="B1" s="39"/>
    </row>
    <row r="2" spans="1:2" ht="14.4" customHeight="1" x14ac:dyDescent="0.3"/>
    <row r="3" spans="1:2" ht="14.4" customHeight="1" x14ac:dyDescent="0.3">
      <c r="A3" s="18" t="s">
        <v>279</v>
      </c>
      <c r="B3" s="19" t="s">
        <v>46</v>
      </c>
    </row>
    <row r="4" spans="1:2" ht="14.4" customHeight="1" x14ac:dyDescent="0.3">
      <c r="A4" s="18" t="s">
        <v>280</v>
      </c>
      <c r="B4" s="21" t="str">
        <f>IFERROR(INDEX(Lista_Maestra!$A:$A,MATCH($B$3,Lista_Maestra!$H:$H,0)),)</f>
        <v>COC-ARR-ACI-003</v>
      </c>
    </row>
    <row r="5" spans="1:2" ht="14.4" customHeight="1" x14ac:dyDescent="0.3">
      <c r="A5" s="18" t="s">
        <v>281</v>
      </c>
      <c r="B5" s="21" t="str">
        <f>IFERROR(INDEX(Lista_Maestra!$B:$B,MATCH($B$3,Lista_Maestra!$H:$H,0)),)</f>
        <v>Cocina</v>
      </c>
    </row>
    <row r="6" spans="1:2" ht="14.4" customHeight="1" x14ac:dyDescent="0.3">
      <c r="A6" s="18" t="s">
        <v>282</v>
      </c>
      <c r="B6" s="21" t="str">
        <f>IFERROR(INDEX(Lista_Maestra!$C:$C,MATCH($B$3,Lista_Maestra!$H:$H,0)),)</f>
        <v xml:space="preserve">Arrocera </v>
      </c>
    </row>
    <row r="7" spans="1:2" ht="14.4" customHeight="1" x14ac:dyDescent="0.3">
      <c r="A7" s="18" t="s">
        <v>283</v>
      </c>
      <c r="B7" s="22">
        <f>IFERROR(INDEX(Lista_Maestra!$L:$L,MATCH($B$3,Lista_Maestra!$H:$H,0)),)</f>
        <v>2880</v>
      </c>
    </row>
    <row r="8" spans="1:2" ht="14.4" customHeight="1" x14ac:dyDescent="0.3">
      <c r="A8" s="18" t="s">
        <v>284</v>
      </c>
      <c r="B8" s="22">
        <f>IFERROR(INDEX(Lista_Maestra!$M:$M,MATCH($B$3,Lista_Maestra!$H:$H,0)),)</f>
        <v>720</v>
      </c>
    </row>
    <row r="9" spans="1:2" ht="14.4" customHeight="1" x14ac:dyDescent="0.3">
      <c r="B9" s="21"/>
    </row>
    <row r="10" spans="1:2" ht="14.4" customHeight="1" x14ac:dyDescent="0.3">
      <c r="A10" s="18" t="s">
        <v>285</v>
      </c>
      <c r="B10" s="22">
        <f>IFERROR(INDEX(Lista_Maestra!$O:$O,MATCH($B$3,Lista_Maestra!$H:$H,0)),)</f>
        <v>3600</v>
      </c>
    </row>
    <row r="11" spans="1:2" ht="14.4" customHeight="1" x14ac:dyDescent="0.3">
      <c r="A11" s="18" t="s">
        <v>286</v>
      </c>
      <c r="B11" s="22" t="str">
        <f>IFERROR(INDEX(Lista_Maestra!$P:$P,MATCH($B$3,Lista_Maestra!$H:$H,0)),)</f>
        <v>SI</v>
      </c>
    </row>
    <row r="12" spans="1:2" ht="14.4" customHeight="1" x14ac:dyDescent="0.3">
      <c r="B12" s="21"/>
    </row>
    <row r="13" spans="1:2" ht="14.4" customHeight="1" x14ac:dyDescent="0.3">
      <c r="A13" s="18" t="s">
        <v>287</v>
      </c>
      <c r="B13" s="22">
        <f>IFERROR(INDEX(Lista_Maestra!$R:$R,MATCH($B$3,Lista_Maestra!$H:$H,0)),)</f>
        <v>2880</v>
      </c>
    </row>
    <row r="14" spans="1:2" ht="14.4" customHeight="1" x14ac:dyDescent="0.3">
      <c r="A14" s="18" t="s">
        <v>288</v>
      </c>
      <c r="B14" s="22" t="str">
        <f>IFERROR(INDEX(Lista_Maestra!$S:$S,MATCH($B$3,Lista_Maestra!$H:$H,0)),)</f>
        <v>SI</v>
      </c>
    </row>
    <row r="15" spans="1:2" ht="14.4" customHeight="1" x14ac:dyDescent="0.3">
      <c r="B15" s="21"/>
    </row>
    <row r="16" spans="1:2" ht="14.4" customHeight="1" x14ac:dyDescent="0.3">
      <c r="A16" s="18" t="s">
        <v>289</v>
      </c>
      <c r="B16" s="22">
        <f>IF($B$3="","",
MAX(100,ROUNDUP(_xlfn.XLOOKUP($B$3,Tabla_Productos[Nombre_Comercial],Tabla_Productos[Precio_Credito],0)/52,0)))</f>
        <v>100</v>
      </c>
    </row>
    <row r="17" spans="1:2" ht="14.4" customHeight="1" x14ac:dyDescent="0.3">
      <c r="A17" s="18" t="s">
        <v>430</v>
      </c>
      <c r="B17" s="29">
        <f>IF($B$3="","",MIN(52,ROUNDUP(_xlfn.XLOOKUP($B$3,Tabla_Productos[Nombre_Comercial],Tabla_Productos[Precio_Credito],0)/B16,0)))</f>
        <v>36</v>
      </c>
    </row>
    <row r="18" spans="1:2" x14ac:dyDescent="0.3">
      <c r="A18" s="18" t="s">
        <v>431</v>
      </c>
      <c r="B18" s="36">
        <f>IF($B$3="","",B16*B17)</f>
        <v>3600</v>
      </c>
    </row>
  </sheetData>
  <mergeCells count="1">
    <mergeCell ref="A1:B1"/>
  </mergeCells>
  <dataValidations count="1">
    <dataValidation type="list" allowBlank="1" showInputMessage="1" showErrorMessage="1" sqref="B3" xr:uid="{20F3DDAA-FEF1-4F05-BD95-1436A6CFD072}">
      <formula1>Lista_Productos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zoomScale="90" zoomScaleNormal="90" workbookViewId="0"/>
  </sheetViews>
  <sheetFormatPr baseColWidth="10" defaultColWidth="8.88671875" defaultRowHeight="13.8" x14ac:dyDescent="0.3"/>
  <cols>
    <col min="1" max="1" width="16" customWidth="1"/>
    <col min="2" max="2" width="10" customWidth="1"/>
    <col min="3" max="3" width="18" customWidth="1"/>
    <col min="4" max="4" width="14" customWidth="1"/>
    <col min="5" max="5" width="34" customWidth="1"/>
    <col min="6" max="6" width="10" customWidth="1"/>
    <col min="7" max="7" width="20" customWidth="1"/>
    <col min="8" max="8" width="22" customWidth="1"/>
    <col min="9" max="9" width="25" customWidth="1"/>
  </cols>
  <sheetData>
    <row r="1" spans="1:9" ht="27.6" x14ac:dyDescent="0.3">
      <c r="A1" s="16" t="s">
        <v>290</v>
      </c>
      <c r="B1" s="16" t="s">
        <v>291</v>
      </c>
      <c r="C1" s="16" t="s">
        <v>292</v>
      </c>
      <c r="D1" s="16" t="s">
        <v>280</v>
      </c>
      <c r="E1" s="16" t="s">
        <v>293</v>
      </c>
      <c r="F1" s="16" t="s">
        <v>294</v>
      </c>
      <c r="G1" s="16" t="s">
        <v>295</v>
      </c>
      <c r="H1" s="16" t="s">
        <v>296</v>
      </c>
      <c r="I1" s="16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H2" sqref="H2"/>
    </sheetView>
  </sheetViews>
  <sheetFormatPr baseColWidth="10" defaultColWidth="8.88671875" defaultRowHeight="13.8" x14ac:dyDescent="0.3"/>
  <cols>
    <col min="1" max="1" width="16" customWidth="1"/>
    <col min="2" max="2" width="14" customWidth="1"/>
    <col min="3" max="3" width="34" customWidth="1"/>
    <col min="4" max="4" width="14" customWidth="1"/>
    <col min="5" max="7" width="18" customWidth="1"/>
    <col min="8" max="8" width="30" customWidth="1"/>
  </cols>
  <sheetData>
    <row r="1" spans="1:8" x14ac:dyDescent="0.3">
      <c r="A1" s="16" t="s">
        <v>290</v>
      </c>
      <c r="B1" s="16" t="s">
        <v>280</v>
      </c>
      <c r="C1" s="16" t="s">
        <v>293</v>
      </c>
      <c r="D1" s="16" t="s">
        <v>297</v>
      </c>
      <c r="E1" s="16" t="s">
        <v>298</v>
      </c>
      <c r="F1" s="16" t="s">
        <v>299</v>
      </c>
      <c r="G1" s="16" t="s">
        <v>300</v>
      </c>
      <c r="H1" s="16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Configuración</vt:lpstr>
      <vt:lpstr>Respuestas de formulario 1</vt:lpstr>
      <vt:lpstr>Lista_Maestra</vt:lpstr>
      <vt:lpstr>Cotizador</vt:lpstr>
      <vt:lpstr>Inventario_Ruta</vt:lpstr>
      <vt:lpstr>Historial_Cambios</vt:lpstr>
      <vt:lpstr>Lista_Productos</vt:lpstr>
      <vt:lpstr>ListaCategorias</vt:lpstr>
      <vt:lpstr>ListaMateriales</vt:lpstr>
      <vt:lpstr>ListaSubcategorias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Andry obeth mariano luis</cp:lastModifiedBy>
  <dcterms:modified xsi:type="dcterms:W3CDTF">2026-03-22T17:50:35Z</dcterms:modified>
</cp:coreProperties>
</file>